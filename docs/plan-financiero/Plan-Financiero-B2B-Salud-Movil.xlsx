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salud-movil\docs\plan-financiero\"/>
    </mc:Choice>
  </mc:AlternateContent>
  <xr:revisionPtr revIDLastSave="0" documentId="8_{30823776-128E-4183-91BD-43A6B72DCD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Supuestos" sheetId="2" r:id="rId2"/>
    <sheet name="Planes" sheetId="3" r:id="rId3"/>
    <sheet name="Modelo" sheetId="4" r:id="rId4"/>
    <sheet name="Indicadores" sheetId="5" r:id="rId5"/>
    <sheet name="Equilibrio" sheetId="6" r:id="rId6"/>
    <sheet name="Escenarios" sheetId="7" r:id="rId7"/>
    <sheet name="Calc_Es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3" i="8" l="1"/>
  <c r="F183" i="8"/>
  <c r="E183" i="8"/>
  <c r="D183" i="8"/>
  <c r="C183" i="8"/>
  <c r="B183" i="8"/>
  <c r="C172" i="8"/>
  <c r="G165" i="8"/>
  <c r="F165" i="8"/>
  <c r="E165" i="8"/>
  <c r="D165" i="8"/>
  <c r="C165" i="8"/>
  <c r="H165" i="8" s="1"/>
  <c r="G149" i="8"/>
  <c r="F149" i="8"/>
  <c r="E149" i="8"/>
  <c r="G144" i="8"/>
  <c r="F144" i="8"/>
  <c r="E144" i="8"/>
  <c r="D144" i="8"/>
  <c r="C144" i="8"/>
  <c r="G141" i="8"/>
  <c r="F141" i="8"/>
  <c r="E141" i="8"/>
  <c r="D141" i="8"/>
  <c r="C141" i="8"/>
  <c r="G140" i="8"/>
  <c r="F140" i="8"/>
  <c r="E140" i="8"/>
  <c r="D140" i="8"/>
  <c r="C140" i="8"/>
  <c r="G139" i="8"/>
  <c r="F139" i="8"/>
  <c r="E139" i="8"/>
  <c r="D139" i="8"/>
  <c r="D149" i="8" s="1"/>
  <c r="C139" i="8"/>
  <c r="C149" i="8" s="1"/>
  <c r="G116" i="8"/>
  <c r="F116" i="8"/>
  <c r="E116" i="8"/>
  <c r="D116" i="8"/>
  <c r="C116" i="8"/>
  <c r="B116" i="8"/>
  <c r="C105" i="8"/>
  <c r="G98" i="8"/>
  <c r="F98" i="8"/>
  <c r="E98" i="8"/>
  <c r="D98" i="8"/>
  <c r="C98" i="8"/>
  <c r="G83" i="8"/>
  <c r="F83" i="8"/>
  <c r="E83" i="8"/>
  <c r="D83" i="8"/>
  <c r="C83" i="8"/>
  <c r="G82" i="8"/>
  <c r="F82" i="8"/>
  <c r="E82" i="8"/>
  <c r="D82" i="8"/>
  <c r="C82" i="8"/>
  <c r="G78" i="8"/>
  <c r="G89" i="8" s="1"/>
  <c r="F78" i="8"/>
  <c r="F89" i="8" s="1"/>
  <c r="E78" i="8"/>
  <c r="E89" i="8" s="1"/>
  <c r="D78" i="8"/>
  <c r="D89" i="8" s="1"/>
  <c r="C78" i="8"/>
  <c r="C89" i="8" s="1"/>
  <c r="H89" i="8" s="1"/>
  <c r="G77" i="8"/>
  <c r="F77" i="8"/>
  <c r="E77" i="8"/>
  <c r="D77" i="8"/>
  <c r="C77" i="8"/>
  <c r="G74" i="8"/>
  <c r="F74" i="8"/>
  <c r="E74" i="8"/>
  <c r="D74" i="8"/>
  <c r="C74" i="8"/>
  <c r="G73" i="8"/>
  <c r="F73" i="8"/>
  <c r="E73" i="8"/>
  <c r="D73" i="8"/>
  <c r="C73" i="8"/>
  <c r="G72" i="8"/>
  <c r="F72" i="8"/>
  <c r="E72" i="8"/>
  <c r="D72" i="8"/>
  <c r="C72" i="8"/>
  <c r="G49" i="8"/>
  <c r="F49" i="8"/>
  <c r="E49" i="8"/>
  <c r="D49" i="8"/>
  <c r="C49" i="8"/>
  <c r="B49" i="8"/>
  <c r="C38" i="8"/>
  <c r="G31" i="8"/>
  <c r="F31" i="8"/>
  <c r="E31" i="8"/>
  <c r="D31" i="8"/>
  <c r="C31" i="8"/>
  <c r="H31" i="8" s="1"/>
  <c r="G7" i="8"/>
  <c r="G17" i="8" s="1"/>
  <c r="F7" i="8"/>
  <c r="E7" i="8"/>
  <c r="D7" i="8"/>
  <c r="C7" i="8"/>
  <c r="G6" i="8"/>
  <c r="G16" i="8" s="1"/>
  <c r="F6" i="8"/>
  <c r="E6" i="8"/>
  <c r="D6" i="8"/>
  <c r="C6" i="8"/>
  <c r="G5" i="8"/>
  <c r="F5" i="8"/>
  <c r="E5" i="8"/>
  <c r="D5" i="8"/>
  <c r="C5" i="8"/>
  <c r="D7" i="7"/>
  <c r="C7" i="7"/>
  <c r="B7" i="7"/>
  <c r="D6" i="7"/>
  <c r="C6" i="7"/>
  <c r="B6" i="7"/>
  <c r="D5" i="7"/>
  <c r="C5" i="7"/>
  <c r="B5" i="7"/>
  <c r="C47" i="6"/>
  <c r="C46" i="6"/>
  <c r="C45" i="6"/>
  <c r="G39" i="6"/>
  <c r="F39" i="6"/>
  <c r="E39" i="6"/>
  <c r="D39" i="6"/>
  <c r="C39" i="6"/>
  <c r="D15" i="5"/>
  <c r="D14" i="5"/>
  <c r="D13" i="5"/>
  <c r="D5" i="5"/>
  <c r="B5" i="5"/>
  <c r="G49" i="4"/>
  <c r="G21" i="5" s="1"/>
  <c r="F49" i="4"/>
  <c r="F21" i="5" s="1"/>
  <c r="E49" i="4"/>
  <c r="E21" i="5" s="1"/>
  <c r="D49" i="4"/>
  <c r="D21" i="5" s="1"/>
  <c r="C49" i="4"/>
  <c r="C21" i="5" s="1"/>
  <c r="B49" i="4"/>
  <c r="B21" i="5" s="1"/>
  <c r="C38" i="4"/>
  <c r="D19" i="3"/>
  <c r="C19" i="3"/>
  <c r="B19" i="3"/>
  <c r="D7" i="3"/>
  <c r="C7" i="3"/>
  <c r="B7" i="3"/>
  <c r="D5" i="3"/>
  <c r="C5" i="3"/>
  <c r="B5" i="3"/>
  <c r="B50" i="2"/>
  <c r="G39" i="2"/>
  <c r="H39" i="2" s="1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28" i="2"/>
  <c r="E28" i="2"/>
  <c r="D28" i="2"/>
  <c r="C28" i="2"/>
  <c r="B28" i="2"/>
  <c r="H20" i="2"/>
  <c r="G20" i="2"/>
  <c r="D6" i="3" s="1"/>
  <c r="H19" i="2"/>
  <c r="G19" i="2"/>
  <c r="C6" i="3" s="1"/>
  <c r="H18" i="2"/>
  <c r="G18" i="2"/>
  <c r="B6" i="3" s="1"/>
  <c r="B14" i="2"/>
  <c r="B8" i="1"/>
  <c r="B4" i="1"/>
  <c r="S2" i="1"/>
  <c r="G151" i="8" l="1"/>
  <c r="H98" i="8"/>
  <c r="F17" i="8"/>
  <c r="G12" i="8"/>
  <c r="G23" i="8" s="1"/>
  <c r="E17" i="8"/>
  <c r="F12" i="8"/>
  <c r="F23" i="8" s="1"/>
  <c r="D17" i="8"/>
  <c r="E12" i="8"/>
  <c r="E23" i="8" s="1"/>
  <c r="C12" i="8"/>
  <c r="C23" i="8" s="1"/>
  <c r="C17" i="8"/>
  <c r="D12" i="8"/>
  <c r="D23" i="8" s="1"/>
  <c r="G11" i="8"/>
  <c r="G22" i="8" s="1"/>
  <c r="F16" i="8"/>
  <c r="E16" i="8"/>
  <c r="F11" i="8"/>
  <c r="F22" i="8" s="1"/>
  <c r="D16" i="8"/>
  <c r="E11" i="8"/>
  <c r="E22" i="8" s="1"/>
  <c r="C16" i="8"/>
  <c r="D11" i="8"/>
  <c r="D22" i="8" s="1"/>
  <c r="C11" i="8"/>
  <c r="C22" i="8" s="1"/>
  <c r="H22" i="8" s="1"/>
  <c r="G15" i="8"/>
  <c r="G8" i="8"/>
  <c r="B8" i="7" s="1"/>
  <c r="F15" i="8"/>
  <c r="G10" i="8"/>
  <c r="F8" i="8"/>
  <c r="E15" i="8"/>
  <c r="F10" i="8"/>
  <c r="E8" i="8"/>
  <c r="D15" i="8"/>
  <c r="D8" i="8"/>
  <c r="E10" i="8"/>
  <c r="C8" i="8"/>
  <c r="C10" i="8"/>
  <c r="D10" i="8"/>
  <c r="C15" i="8"/>
  <c r="F36" i="8"/>
  <c r="F36" i="4"/>
  <c r="F11" i="6" s="1"/>
  <c r="G155" i="8"/>
  <c r="F155" i="8"/>
  <c r="E155" i="8"/>
  <c r="D155" i="8"/>
  <c r="C155" i="8"/>
  <c r="F151" i="8"/>
  <c r="G146" i="8"/>
  <c r="G157" i="8" s="1"/>
  <c r="E151" i="8"/>
  <c r="F146" i="8"/>
  <c r="F157" i="8" s="1"/>
  <c r="D151" i="8"/>
  <c r="E146" i="8"/>
  <c r="E157" i="8" s="1"/>
  <c r="C151" i="8"/>
  <c r="D146" i="8"/>
  <c r="D157" i="8" s="1"/>
  <c r="C146" i="8"/>
  <c r="C157" i="8" s="1"/>
  <c r="H157" i="8" s="1"/>
  <c r="G150" i="8"/>
  <c r="G142" i="8"/>
  <c r="D8" i="7" s="1"/>
  <c r="F142" i="8"/>
  <c r="F150" i="8"/>
  <c r="G145" i="8"/>
  <c r="E150" i="8"/>
  <c r="F145" i="8"/>
  <c r="E142" i="8"/>
  <c r="D142" i="8"/>
  <c r="E145" i="8"/>
  <c r="D150" i="8"/>
  <c r="C142" i="8"/>
  <c r="D145" i="8"/>
  <c r="C145" i="8"/>
  <c r="C150" i="8"/>
  <c r="G88" i="8"/>
  <c r="F88" i="8"/>
  <c r="E88" i="8"/>
  <c r="D88" i="8"/>
  <c r="C88" i="8"/>
  <c r="G84" i="8"/>
  <c r="G75" i="8"/>
  <c r="C8" i="7" s="1"/>
  <c r="G79" i="8"/>
  <c r="F84" i="8"/>
  <c r="F75" i="8"/>
  <c r="E84" i="8"/>
  <c r="E75" i="8"/>
  <c r="F79" i="8"/>
  <c r="D84" i="8"/>
  <c r="D75" i="8"/>
  <c r="E79" i="8"/>
  <c r="C79" i="8"/>
  <c r="D79" i="8"/>
  <c r="C75" i="8"/>
  <c r="C84" i="8"/>
  <c r="F18" i="8"/>
  <c r="F19" i="8" s="1"/>
  <c r="F25" i="8"/>
  <c r="F29" i="8" s="1"/>
  <c r="E18" i="8"/>
  <c r="E19" i="8" s="1"/>
  <c r="E25" i="8"/>
  <c r="E29" i="8" s="1"/>
  <c r="D18" i="8"/>
  <c r="D19" i="8" s="1"/>
  <c r="D25" i="8"/>
  <c r="D29" i="8" s="1"/>
  <c r="C18" i="8"/>
  <c r="C25" i="8"/>
  <c r="G13" i="8"/>
  <c r="G21" i="8"/>
  <c r="F13" i="8"/>
  <c r="F21" i="8"/>
  <c r="E13" i="8"/>
  <c r="E21" i="8"/>
  <c r="D21" i="8"/>
  <c r="D13" i="8"/>
  <c r="C21" i="8"/>
  <c r="C13" i="8"/>
  <c r="H13" i="8" s="1"/>
  <c r="D36" i="8"/>
  <c r="E36" i="8"/>
  <c r="C36" i="8"/>
  <c r="B47" i="8"/>
  <c r="D103" i="8"/>
  <c r="F170" i="8"/>
  <c r="E170" i="8"/>
  <c r="G36" i="8"/>
  <c r="D170" i="8"/>
  <c r="C170" i="8"/>
  <c r="H170" i="8" s="1"/>
  <c r="B114" i="8"/>
  <c r="G103" i="8"/>
  <c r="F103" i="8"/>
  <c r="E103" i="8"/>
  <c r="C103" i="8"/>
  <c r="H103" i="8" s="1"/>
  <c r="B47" i="4"/>
  <c r="D36" i="4"/>
  <c r="D11" i="6" s="1"/>
  <c r="C36" i="4"/>
  <c r="B181" i="8"/>
  <c r="E36" i="4"/>
  <c r="E11" i="6" s="1"/>
  <c r="B27" i="6" s="1"/>
  <c r="G170" i="8"/>
  <c r="G36" i="4"/>
  <c r="G11" i="6" s="1"/>
  <c r="C50" i="2"/>
  <c r="E57" i="2"/>
  <c r="D57" i="2"/>
  <c r="C57" i="2"/>
  <c r="B57" i="2"/>
  <c r="H1" i="4"/>
  <c r="H23" i="8" l="1"/>
  <c r="G25" i="8"/>
  <c r="G29" i="8" s="1"/>
  <c r="G18" i="8"/>
  <c r="G19" i="8" s="1"/>
  <c r="C90" i="8"/>
  <c r="C80" i="8"/>
  <c r="D90" i="8"/>
  <c r="D80" i="8"/>
  <c r="C85" i="8"/>
  <c r="C92" i="8"/>
  <c r="G158" i="8"/>
  <c r="G162" i="8"/>
  <c r="F158" i="8"/>
  <c r="F162" i="8"/>
  <c r="E162" i="8"/>
  <c r="D158" i="8"/>
  <c r="D160" i="8" s="1"/>
  <c r="D162" i="8"/>
  <c r="D164" i="8" s="1"/>
  <c r="D166" i="8" s="1"/>
  <c r="H155" i="8"/>
  <c r="C158" i="8"/>
  <c r="C162" i="8"/>
  <c r="C86" i="8"/>
  <c r="C96" i="8"/>
  <c r="G91" i="8"/>
  <c r="G93" i="8" s="1"/>
  <c r="G95" i="8"/>
  <c r="G97" i="8" s="1"/>
  <c r="G99" i="8" s="1"/>
  <c r="F91" i="8"/>
  <c r="F93" i="8" s="1"/>
  <c r="F95" i="8"/>
  <c r="F97" i="8" s="1"/>
  <c r="F99" i="8" s="1"/>
  <c r="E91" i="8"/>
  <c r="E93" i="8" s="1"/>
  <c r="E95" i="8"/>
  <c r="E97" i="8" s="1"/>
  <c r="E99" i="8" s="1"/>
  <c r="D91" i="8"/>
  <c r="D93" i="8" s="1"/>
  <c r="D95" i="8"/>
  <c r="H88" i="8"/>
  <c r="C91" i="8"/>
  <c r="C95" i="8"/>
  <c r="H18" i="8"/>
  <c r="C19" i="8"/>
  <c r="H19" i="8" s="1"/>
  <c r="C29" i="8"/>
  <c r="H29" i="8" s="1"/>
  <c r="H25" i="8"/>
  <c r="G24" i="8"/>
  <c r="G26" i="8" s="1"/>
  <c r="G28" i="8"/>
  <c r="G30" i="8" s="1"/>
  <c r="G32" i="8" s="1"/>
  <c r="F24" i="8"/>
  <c r="F26" i="8" s="1"/>
  <c r="F28" i="8"/>
  <c r="F30" i="8" s="1"/>
  <c r="F32" i="8" s="1"/>
  <c r="E24" i="8"/>
  <c r="E26" i="8" s="1"/>
  <c r="E28" i="8"/>
  <c r="E30" i="8" s="1"/>
  <c r="E32" i="8" s="1"/>
  <c r="D24" i="8"/>
  <c r="D26" i="8" s="1"/>
  <c r="D28" i="8"/>
  <c r="D30" i="8" s="1"/>
  <c r="D32" i="8" s="1"/>
  <c r="H21" i="8"/>
  <c r="C24" i="8"/>
  <c r="C28" i="8"/>
  <c r="B48" i="8"/>
  <c r="B50" i="8"/>
  <c r="B115" i="8"/>
  <c r="B117" i="8"/>
  <c r="B20" i="5"/>
  <c r="B48" i="4"/>
  <c r="B50" i="4"/>
  <c r="C11" i="6"/>
  <c r="H36" i="4"/>
  <c r="B182" i="8"/>
  <c r="B184" i="8"/>
  <c r="C31" i="4"/>
  <c r="D31" i="4"/>
  <c r="D5" i="6" s="1"/>
  <c r="E31" i="4"/>
  <c r="E5" i="6" s="1"/>
  <c r="G31" i="4"/>
  <c r="G5" i="6" s="1"/>
  <c r="F31" i="4"/>
  <c r="F5" i="6" s="1"/>
  <c r="B29" i="6"/>
  <c r="B45" i="6" s="1"/>
  <c r="D45" i="6" s="1"/>
  <c r="B30" i="6"/>
  <c r="B46" i="6" s="1"/>
  <c r="D46" i="6" s="1"/>
  <c r="B31" i="6"/>
  <c r="C5" i="4"/>
  <c r="D5" i="4"/>
  <c r="E5" i="4"/>
  <c r="F5" i="4"/>
  <c r="G5" i="4"/>
  <c r="C6" i="4"/>
  <c r="E6" i="4"/>
  <c r="G6" i="4"/>
  <c r="D7" i="4"/>
  <c r="F7" i="4"/>
  <c r="D6" i="4"/>
  <c r="F6" i="4"/>
  <c r="C7" i="4"/>
  <c r="E7" i="4"/>
  <c r="G7" i="4"/>
  <c r="H36" i="8"/>
  <c r="G159" i="8"/>
  <c r="G163" i="8" s="1"/>
  <c r="G152" i="8"/>
  <c r="G153" i="8" s="1"/>
  <c r="F159" i="8"/>
  <c r="F163" i="8" s="1"/>
  <c r="F152" i="8"/>
  <c r="F153" i="8" s="1"/>
  <c r="G156" i="8"/>
  <c r="G147" i="8"/>
  <c r="E159" i="8"/>
  <c r="E163" i="8" s="1"/>
  <c r="E152" i="8"/>
  <c r="E153" i="8" s="1"/>
  <c r="F156" i="8"/>
  <c r="F147" i="8"/>
  <c r="E156" i="8"/>
  <c r="E158" i="8" s="1"/>
  <c r="E147" i="8"/>
  <c r="D152" i="8"/>
  <c r="D153" i="8" s="1"/>
  <c r="D159" i="8"/>
  <c r="D163" i="8" s="1"/>
  <c r="D156" i="8"/>
  <c r="D147" i="8"/>
  <c r="C156" i="8"/>
  <c r="C147" i="8"/>
  <c r="C159" i="8"/>
  <c r="C152" i="8"/>
  <c r="G85" i="8"/>
  <c r="G86" i="8" s="1"/>
  <c r="G92" i="8"/>
  <c r="G96" i="8" s="1"/>
  <c r="G90" i="8"/>
  <c r="G80" i="8"/>
  <c r="F92" i="8"/>
  <c r="F96" i="8" s="1"/>
  <c r="F85" i="8"/>
  <c r="F86" i="8" s="1"/>
  <c r="E92" i="8"/>
  <c r="E96" i="8" s="1"/>
  <c r="E85" i="8"/>
  <c r="E86" i="8" s="1"/>
  <c r="F90" i="8"/>
  <c r="F80" i="8"/>
  <c r="D85" i="8"/>
  <c r="D92" i="8"/>
  <c r="E90" i="8"/>
  <c r="H90" i="8" s="1"/>
  <c r="E80" i="8"/>
  <c r="H156" i="8" l="1"/>
  <c r="H80" i="8"/>
  <c r="D168" i="8"/>
  <c r="D177" i="8"/>
  <c r="H158" i="8"/>
  <c r="C160" i="8"/>
  <c r="H162" i="8"/>
  <c r="G101" i="8"/>
  <c r="G102" i="8"/>
  <c r="G110" i="8"/>
  <c r="C9" i="7"/>
  <c r="F101" i="8"/>
  <c r="F104" i="8" s="1"/>
  <c r="F102" i="8"/>
  <c r="F110" i="8"/>
  <c r="E101" i="8"/>
  <c r="E110" i="8"/>
  <c r="D110" i="8"/>
  <c r="C93" i="8"/>
  <c r="H91" i="8"/>
  <c r="H95" i="8"/>
  <c r="C97" i="8"/>
  <c r="G34" i="8"/>
  <c r="G35" i="8"/>
  <c r="G43" i="8"/>
  <c r="B9" i="7"/>
  <c r="F34" i="8"/>
  <c r="F37" i="8" s="1"/>
  <c r="F35" i="8"/>
  <c r="F43" i="8"/>
  <c r="E34" i="8"/>
  <c r="E37" i="8" s="1"/>
  <c r="E35" i="8"/>
  <c r="E43" i="8"/>
  <c r="D34" i="8"/>
  <c r="D37" i="8" s="1"/>
  <c r="D35" i="8"/>
  <c r="D43" i="8"/>
  <c r="H24" i="8"/>
  <c r="C26" i="8"/>
  <c r="H28" i="8"/>
  <c r="C30" i="8"/>
  <c r="B51" i="8"/>
  <c r="B118" i="8"/>
  <c r="B23" i="5"/>
  <c r="B51" i="4"/>
  <c r="B22" i="5"/>
  <c r="B185" i="8"/>
  <c r="H31" i="4"/>
  <c r="C5" i="6"/>
  <c r="D38" i="6"/>
  <c r="E38" i="6"/>
  <c r="B26" i="6"/>
  <c r="G38" i="6"/>
  <c r="F38" i="6"/>
  <c r="A33" i="6"/>
  <c r="B47" i="6"/>
  <c r="D47" i="6" s="1"/>
  <c r="C8" i="4"/>
  <c r="D10" i="4"/>
  <c r="C10" i="4"/>
  <c r="C15" i="4"/>
  <c r="E10" i="4"/>
  <c r="D15" i="4"/>
  <c r="D8" i="4"/>
  <c r="D18" i="6" s="1"/>
  <c r="D6" i="6"/>
  <c r="E8" i="4"/>
  <c r="F10" i="4"/>
  <c r="E15" i="4"/>
  <c r="G10" i="4"/>
  <c r="F15" i="4"/>
  <c r="F8" i="4"/>
  <c r="F18" i="6" s="1"/>
  <c r="F6" i="6"/>
  <c r="G8" i="4"/>
  <c r="G18" i="6" s="1"/>
  <c r="G15" i="4"/>
  <c r="G6" i="6"/>
  <c r="D11" i="4"/>
  <c r="D22" i="4" s="1"/>
  <c r="C16" i="4"/>
  <c r="C11" i="4"/>
  <c r="C22" i="4" s="1"/>
  <c r="C7" i="6"/>
  <c r="E16" i="4"/>
  <c r="F11" i="4"/>
  <c r="F22" i="4" s="1"/>
  <c r="G16" i="4"/>
  <c r="G7" i="6"/>
  <c r="E12" i="4"/>
  <c r="E23" i="4" s="1"/>
  <c r="D17" i="4"/>
  <c r="D8" i="6"/>
  <c r="G12" i="4"/>
  <c r="G23" i="4" s="1"/>
  <c r="F17" i="4"/>
  <c r="F8" i="6"/>
  <c r="D16" i="4"/>
  <c r="D7" i="6"/>
  <c r="E11" i="4"/>
  <c r="E22" i="4" s="1"/>
  <c r="F16" i="4"/>
  <c r="F7" i="6"/>
  <c r="G11" i="4"/>
  <c r="G22" i="4" s="1"/>
  <c r="C12" i="4"/>
  <c r="C23" i="4" s="1"/>
  <c r="C8" i="6"/>
  <c r="D12" i="4"/>
  <c r="D23" i="4" s="1"/>
  <c r="C17" i="4"/>
  <c r="F12" i="4"/>
  <c r="F23" i="4" s="1"/>
  <c r="E8" i="6"/>
  <c r="E17" i="4"/>
  <c r="G8" i="6"/>
  <c r="G17" i="4"/>
  <c r="C163" i="8"/>
  <c r="H159" i="8"/>
  <c r="C153" i="8"/>
  <c r="H153" i="8" s="1"/>
  <c r="H152" i="8"/>
  <c r="E160" i="8"/>
  <c r="E164" i="8"/>
  <c r="E166" i="8" s="1"/>
  <c r="H147" i="8"/>
  <c r="G160" i="8"/>
  <c r="G164" i="8"/>
  <c r="G166" i="8" s="1"/>
  <c r="F164" i="8"/>
  <c r="F166" i="8" s="1"/>
  <c r="F160" i="8"/>
  <c r="D86" i="8"/>
  <c r="H86" i="8" s="1"/>
  <c r="H85" i="8"/>
  <c r="D96" i="8"/>
  <c r="H92" i="8"/>
  <c r="H23" i="4" l="1"/>
  <c r="E104" i="8"/>
  <c r="E102" i="8"/>
  <c r="E18" i="6"/>
  <c r="E6" i="6"/>
  <c r="E7" i="6"/>
  <c r="H163" i="8"/>
  <c r="C164" i="8"/>
  <c r="H96" i="8"/>
  <c r="D97" i="8"/>
  <c r="D99" i="8" s="1"/>
  <c r="D101" i="8" s="1"/>
  <c r="H160" i="8"/>
  <c r="C177" i="8"/>
  <c r="H164" i="8"/>
  <c r="C166" i="8"/>
  <c r="C168" i="8" s="1"/>
  <c r="C169" i="8" s="1"/>
  <c r="G104" i="8"/>
  <c r="C10" i="7"/>
  <c r="H93" i="8"/>
  <c r="C110" i="8"/>
  <c r="H97" i="8"/>
  <c r="C99" i="8"/>
  <c r="C101" i="8" s="1"/>
  <c r="C102" i="8" s="1"/>
  <c r="B10" i="7"/>
  <c r="G37" i="8"/>
  <c r="H26" i="8"/>
  <c r="C43" i="8"/>
  <c r="H30" i="8"/>
  <c r="C32" i="8"/>
  <c r="C34" i="8" s="1"/>
  <c r="C35" i="8" s="1"/>
  <c r="B24" i="5"/>
  <c r="C38" i="6"/>
  <c r="C29" i="6"/>
  <c r="D29" i="6"/>
  <c r="E29" i="6"/>
  <c r="C30" i="6"/>
  <c r="D30" i="6"/>
  <c r="E30" i="6"/>
  <c r="C31" i="6"/>
  <c r="D31" i="6"/>
  <c r="E31" i="6"/>
  <c r="D13" i="4"/>
  <c r="D21" i="4"/>
  <c r="C13" i="4"/>
  <c r="C21" i="4"/>
  <c r="C18" i="4"/>
  <c r="C25" i="4"/>
  <c r="E13" i="4"/>
  <c r="E21" i="4"/>
  <c r="D18" i="4"/>
  <c r="D19" i="4" s="1"/>
  <c r="D40" i="6" s="1"/>
  <c r="D41" i="6" s="1"/>
  <c r="D25" i="4"/>
  <c r="D29" i="4" s="1"/>
  <c r="D9" i="6"/>
  <c r="D10" i="6"/>
  <c r="F13" i="4"/>
  <c r="F21" i="4"/>
  <c r="E18" i="4"/>
  <c r="E19" i="4" s="1"/>
  <c r="E40" i="6" s="1"/>
  <c r="E41" i="6" s="1"/>
  <c r="E25" i="4"/>
  <c r="E29" i="4" s="1"/>
  <c r="E9" i="6"/>
  <c r="E10" i="6"/>
  <c r="G21" i="4"/>
  <c r="G13" i="4"/>
  <c r="F18" i="4"/>
  <c r="F19" i="4" s="1"/>
  <c r="F40" i="6" s="1"/>
  <c r="F41" i="6" s="1"/>
  <c r="F25" i="4"/>
  <c r="F29" i="4" s="1"/>
  <c r="F9" i="6"/>
  <c r="F10" i="6"/>
  <c r="G25" i="4"/>
  <c r="G29" i="4" s="1"/>
  <c r="G18" i="4"/>
  <c r="G19" i="4" s="1"/>
  <c r="G40" i="6" s="1"/>
  <c r="G9" i="6"/>
  <c r="G10" i="6"/>
  <c r="E177" i="8"/>
  <c r="E168" i="8"/>
  <c r="G177" i="8"/>
  <c r="D9" i="7"/>
  <c r="G168" i="8"/>
  <c r="G169" i="8" s="1"/>
  <c r="F177" i="8"/>
  <c r="F168" i="8"/>
  <c r="H22" i="4"/>
  <c r="D171" i="8"/>
  <c r="D169" i="8"/>
  <c r="C18" i="6"/>
  <c r="C6" i="6"/>
  <c r="D102" i="8" l="1"/>
  <c r="D104" i="8"/>
  <c r="H168" i="8"/>
  <c r="C171" i="8"/>
  <c r="H166" i="8"/>
  <c r="H101" i="8"/>
  <c r="C104" i="8"/>
  <c r="H99" i="8"/>
  <c r="H34" i="8"/>
  <c r="C37" i="8"/>
  <c r="H32" i="8"/>
  <c r="D28" i="4"/>
  <c r="D30" i="4" s="1"/>
  <c r="D32" i="4" s="1"/>
  <c r="D24" i="4"/>
  <c r="D26" i="4" s="1"/>
  <c r="H21" i="4"/>
  <c r="C24" i="4"/>
  <c r="C28" i="4"/>
  <c r="H18" i="4"/>
  <c r="C19" i="4"/>
  <c r="C29" i="4"/>
  <c r="H29" i="4" s="1"/>
  <c r="H25" i="4"/>
  <c r="E24" i="4"/>
  <c r="E26" i="4" s="1"/>
  <c r="E28" i="4"/>
  <c r="E30" i="4" s="1"/>
  <c r="E32" i="4" s="1"/>
  <c r="D13" i="6"/>
  <c r="D12" i="6"/>
  <c r="D15" i="6" s="1"/>
  <c r="F24" i="4"/>
  <c r="F26" i="4" s="1"/>
  <c r="F28" i="4"/>
  <c r="F30" i="4" s="1"/>
  <c r="F32" i="4" s="1"/>
  <c r="E12" i="6"/>
  <c r="E15" i="6" s="1"/>
  <c r="E13" i="6"/>
  <c r="B32" i="6"/>
  <c r="G24" i="4"/>
  <c r="G28" i="4"/>
  <c r="G30" i="4" s="1"/>
  <c r="G32" i="4" s="1"/>
  <c r="F13" i="6"/>
  <c r="F12" i="6"/>
  <c r="F15" i="6" s="1"/>
  <c r="G12" i="6"/>
  <c r="G15" i="6" s="1"/>
  <c r="G13" i="6"/>
  <c r="G171" i="8"/>
  <c r="D10" i="7"/>
  <c r="C10" i="6"/>
  <c r="C9" i="6"/>
  <c r="H13" i="4"/>
  <c r="G41" i="6"/>
  <c r="B42" i="6"/>
  <c r="E171" i="8"/>
  <c r="E169" i="8"/>
  <c r="F171" i="8"/>
  <c r="F169" i="8"/>
  <c r="H171" i="8" l="1"/>
  <c r="C173" i="8"/>
  <c r="H104" i="8"/>
  <c r="C106" i="8"/>
  <c r="H37" i="8"/>
  <c r="C39" i="8"/>
  <c r="D34" i="4"/>
  <c r="D37" i="4" s="1"/>
  <c r="D35" i="4"/>
  <c r="D43" i="4"/>
  <c r="H24" i="4"/>
  <c r="C26" i="4"/>
  <c r="H28" i="4"/>
  <c r="C30" i="4"/>
  <c r="H19" i="4"/>
  <c r="C40" i="6"/>
  <c r="C41" i="6" s="1"/>
  <c r="E43" i="4"/>
  <c r="E34" i="4"/>
  <c r="E37" i="4" s="1"/>
  <c r="E35" i="4"/>
  <c r="D14" i="6"/>
  <c r="D17" i="6" s="1"/>
  <c r="D16" i="6"/>
  <c r="F34" i="4"/>
  <c r="F43" i="4"/>
  <c r="E16" i="6"/>
  <c r="E14" i="6"/>
  <c r="E17" i="6" s="1"/>
  <c r="E32" i="6"/>
  <c r="N11" i="1" s="1"/>
  <c r="D32" i="6"/>
  <c r="N12" i="1" s="1"/>
  <c r="C32" i="6"/>
  <c r="G26" i="4"/>
  <c r="B12" i="1"/>
  <c r="F16" i="6"/>
  <c r="F14" i="6"/>
  <c r="F17" i="6" s="1"/>
  <c r="G14" i="6"/>
  <c r="G17" i="6" s="1"/>
  <c r="G16" i="6"/>
  <c r="C12" i="6"/>
  <c r="C15" i="6" s="1"/>
  <c r="C13" i="6"/>
  <c r="E47" i="6"/>
  <c r="E46" i="6"/>
  <c r="E45" i="6"/>
  <c r="H26" i="4" l="1"/>
  <c r="C43" i="4"/>
  <c r="H30" i="4"/>
  <c r="C32" i="4"/>
  <c r="C34" i="4" s="1"/>
  <c r="C35" i="4" s="1"/>
  <c r="D20" i="6"/>
  <c r="D19" i="6"/>
  <c r="D21" i="6"/>
  <c r="E20" i="6"/>
  <c r="E19" i="6"/>
  <c r="E21" i="6"/>
  <c r="G34" i="4"/>
  <c r="G35" i="4"/>
  <c r="F12" i="1" s="1"/>
  <c r="B11" i="1"/>
  <c r="G43" i="4"/>
  <c r="F20" i="6"/>
  <c r="F19" i="6"/>
  <c r="F21" i="6"/>
  <c r="G20" i="6"/>
  <c r="G19" i="6"/>
  <c r="G21" i="6"/>
  <c r="C16" i="6"/>
  <c r="C14" i="6"/>
  <c r="C17" i="6" s="1"/>
  <c r="F47" i="6"/>
  <c r="G47" i="6"/>
  <c r="F46" i="6"/>
  <c r="G46" i="6"/>
  <c r="F45" i="6"/>
  <c r="G45" i="6"/>
  <c r="C175" i="8"/>
  <c r="C176" i="8" s="1"/>
  <c r="C178" i="8" s="1"/>
  <c r="C179" i="8" s="1"/>
  <c r="C181" i="8" s="1"/>
  <c r="C174" i="8"/>
  <c r="D172" i="8" s="1"/>
  <c r="C108" i="8"/>
  <c r="C109" i="8" s="1"/>
  <c r="C111" i="8" s="1"/>
  <c r="C112" i="8" s="1"/>
  <c r="C114" i="8" s="1"/>
  <c r="C107" i="8"/>
  <c r="D105" i="8" s="1"/>
  <c r="C41" i="8"/>
  <c r="C42" i="8" s="1"/>
  <c r="C44" i="8" s="1"/>
  <c r="C45" i="8" s="1"/>
  <c r="C47" i="8" s="1"/>
  <c r="C40" i="8"/>
  <c r="D38" i="8" s="1"/>
  <c r="F37" i="4"/>
  <c r="F35" i="4"/>
  <c r="C182" i="8" l="1"/>
  <c r="C184" i="8"/>
  <c r="C115" i="8"/>
  <c r="C117" i="8"/>
  <c r="C48" i="8"/>
  <c r="C50" i="8"/>
  <c r="H34" i="4"/>
  <c r="C37" i="4"/>
  <c r="H32" i="4"/>
  <c r="G37" i="4"/>
  <c r="F11" i="1"/>
  <c r="C19" i="6"/>
  <c r="C20" i="6"/>
  <c r="C21" i="6"/>
  <c r="C186" i="8"/>
  <c r="D173" i="8"/>
  <c r="C119" i="8"/>
  <c r="D106" i="8"/>
  <c r="C52" i="8"/>
  <c r="D39" i="8"/>
  <c r="D175" i="8" l="1"/>
  <c r="D176" i="8" s="1"/>
  <c r="D178" i="8" s="1"/>
  <c r="D174" i="8"/>
  <c r="E172" i="8" s="1"/>
  <c r="C187" i="8"/>
  <c r="C185" i="8"/>
  <c r="C120" i="8"/>
  <c r="C118" i="8"/>
  <c r="C53" i="8"/>
  <c r="C51" i="8"/>
  <c r="H37" i="4"/>
  <c r="C39" i="4"/>
  <c r="E173" i="8"/>
  <c r="E175" i="8" s="1"/>
  <c r="E176" i="8" s="1"/>
  <c r="E178" i="8" s="1"/>
  <c r="E174" i="8"/>
  <c r="F172" i="8" s="1"/>
  <c r="D179" i="8"/>
  <c r="D186" i="8"/>
  <c r="D108" i="8"/>
  <c r="D109" i="8" s="1"/>
  <c r="D111" i="8" s="1"/>
  <c r="D107" i="8"/>
  <c r="E105" i="8" s="1"/>
  <c r="D41" i="8"/>
  <c r="D42" i="8" s="1"/>
  <c r="D44" i="8" s="1"/>
  <c r="D40" i="8"/>
  <c r="E38" i="8" s="1"/>
  <c r="C188" i="8" l="1"/>
  <c r="C121" i="8"/>
  <c r="C54" i="8"/>
  <c r="E179" i="8"/>
  <c r="E186" i="8"/>
  <c r="F173" i="8"/>
  <c r="D181" i="8"/>
  <c r="D119" i="8"/>
  <c r="D112" i="8"/>
  <c r="E106" i="8"/>
  <c r="D52" i="8"/>
  <c r="D45" i="8"/>
  <c r="E39" i="8"/>
  <c r="C41" i="4"/>
  <c r="C42" i="4" s="1"/>
  <c r="C44" i="4" s="1"/>
  <c r="C40" i="4"/>
  <c r="D38" i="4" s="1"/>
  <c r="F175" i="8" l="1"/>
  <c r="F176" i="8" s="1"/>
  <c r="F178" i="8" s="1"/>
  <c r="F174" i="8"/>
  <c r="G172" i="8" s="1"/>
  <c r="E108" i="8"/>
  <c r="E109" i="8" s="1"/>
  <c r="E111" i="8" s="1"/>
  <c r="E107" i="8"/>
  <c r="F105" i="8" s="1"/>
  <c r="F179" i="8"/>
  <c r="F186" i="8"/>
  <c r="D182" i="8"/>
  <c r="D184" i="8"/>
  <c r="D114" i="8"/>
  <c r="F106" i="8"/>
  <c r="E112" i="8"/>
  <c r="E119" i="8"/>
  <c r="D47" i="8"/>
  <c r="C52" i="4"/>
  <c r="C45" i="4"/>
  <c r="D39" i="4"/>
  <c r="E181" i="8"/>
  <c r="E184" i="8" s="1"/>
  <c r="E41" i="8"/>
  <c r="E42" i="8" s="1"/>
  <c r="E44" i="8" s="1"/>
  <c r="E40" i="8"/>
  <c r="F38" i="8" s="1"/>
  <c r="G173" i="8" l="1"/>
  <c r="G186" i="8"/>
  <c r="B194" i="8" s="1"/>
  <c r="D14" i="7" s="1"/>
  <c r="E182" i="8"/>
  <c r="E187" i="8"/>
  <c r="D187" i="8"/>
  <c r="D185" i="8"/>
  <c r="D115" i="8"/>
  <c r="D117" i="8"/>
  <c r="D48" i="8"/>
  <c r="D50" i="8"/>
  <c r="C47" i="4"/>
  <c r="E52" i="8"/>
  <c r="E45" i="8"/>
  <c r="F39" i="8"/>
  <c r="F181" i="8"/>
  <c r="F184" i="8" s="1"/>
  <c r="F108" i="8"/>
  <c r="F109" i="8" s="1"/>
  <c r="F111" i="8" s="1"/>
  <c r="F107" i="8"/>
  <c r="G105" i="8" s="1"/>
  <c r="E114" i="8"/>
  <c r="E117" i="8" s="1"/>
  <c r="D41" i="4"/>
  <c r="D42" i="4" s="1"/>
  <c r="D44" i="4" s="1"/>
  <c r="D40" i="4"/>
  <c r="E38" i="4" s="1"/>
  <c r="G175" i="8" l="1"/>
  <c r="G176" i="8" s="1"/>
  <c r="G178" i="8" s="1"/>
  <c r="G174" i="8"/>
  <c r="F41" i="8"/>
  <c r="F42" i="8" s="1"/>
  <c r="F44" i="8" s="1"/>
  <c r="F40" i="8"/>
  <c r="G38" i="8" s="1"/>
  <c r="F182" i="8"/>
  <c r="F187" i="8"/>
  <c r="E185" i="8"/>
  <c r="E188" i="8" s="1"/>
  <c r="D188" i="8"/>
  <c r="E115" i="8"/>
  <c r="E120" i="8" s="1"/>
  <c r="D120" i="8"/>
  <c r="D118" i="8"/>
  <c r="D53" i="8"/>
  <c r="D51" i="8"/>
  <c r="C48" i="4"/>
  <c r="C50" i="4"/>
  <c r="C20" i="5"/>
  <c r="E47" i="8"/>
  <c r="E48" i="8" s="1"/>
  <c r="G39" i="8"/>
  <c r="F45" i="8"/>
  <c r="F52" i="8"/>
  <c r="F119" i="8"/>
  <c r="F112" i="8"/>
  <c r="G106" i="8"/>
  <c r="D52" i="4"/>
  <c r="D45" i="4"/>
  <c r="E39" i="4"/>
  <c r="G179" i="8" l="1"/>
  <c r="H178" i="8"/>
  <c r="F185" i="8"/>
  <c r="F188" i="8"/>
  <c r="E118" i="8"/>
  <c r="E121" i="8" s="1"/>
  <c r="D121" i="8"/>
  <c r="D54" i="8"/>
  <c r="C23" i="5"/>
  <c r="C53" i="4"/>
  <c r="C51" i="4"/>
  <c r="C22" i="5"/>
  <c r="E50" i="8"/>
  <c r="E51" i="8" s="1"/>
  <c r="E54" i="8" s="1"/>
  <c r="F114" i="8"/>
  <c r="F115" i="8" s="1"/>
  <c r="F120" i="8" s="1"/>
  <c r="D47" i="4"/>
  <c r="D48" i="4" s="1"/>
  <c r="E53" i="8"/>
  <c r="G41" i="8"/>
  <c r="G42" i="8" s="1"/>
  <c r="G44" i="8" s="1"/>
  <c r="G40" i="8"/>
  <c r="F47" i="8"/>
  <c r="G108" i="8"/>
  <c r="G109" i="8" s="1"/>
  <c r="G111" i="8" s="1"/>
  <c r="G107" i="8"/>
  <c r="E41" i="4"/>
  <c r="E42" i="4" s="1"/>
  <c r="E44" i="4" s="1"/>
  <c r="E40" i="4"/>
  <c r="F38" i="4" s="1"/>
  <c r="H179" i="8" l="1"/>
  <c r="G181" i="8"/>
  <c r="F50" i="8"/>
  <c r="F48" i="8"/>
  <c r="F53" i="8" s="1"/>
  <c r="F51" i="8"/>
  <c r="F54" i="8"/>
  <c r="D23" i="5"/>
  <c r="C24" i="5"/>
  <c r="C54" i="4"/>
  <c r="F117" i="8"/>
  <c r="F118" i="8" s="1"/>
  <c r="F121" i="8" s="1"/>
  <c r="D50" i="4"/>
  <c r="D51" i="4" s="1"/>
  <c r="D54" i="4" s="1"/>
  <c r="D20" i="5"/>
  <c r="G52" i="8"/>
  <c r="B60" i="8" s="1"/>
  <c r="B14" i="7" s="1"/>
  <c r="G45" i="8"/>
  <c r="H44" i="8"/>
  <c r="G119" i="8"/>
  <c r="B127" i="8" s="1"/>
  <c r="C14" i="7" s="1"/>
  <c r="G112" i="8"/>
  <c r="H111" i="8"/>
  <c r="E52" i="4"/>
  <c r="E45" i="4"/>
  <c r="F39" i="4"/>
  <c r="D53" i="4"/>
  <c r="B191" i="8" l="1"/>
  <c r="D12" i="7" s="1"/>
  <c r="B197" i="8"/>
  <c r="H181" i="8"/>
  <c r="G182" i="8"/>
  <c r="G184" i="8"/>
  <c r="D24" i="5"/>
  <c r="D22" i="5"/>
  <c r="H45" i="8"/>
  <c r="G47" i="8"/>
  <c r="H112" i="8"/>
  <c r="G114" i="8"/>
  <c r="E47" i="4"/>
  <c r="F41" i="4"/>
  <c r="F42" i="4" s="1"/>
  <c r="F44" i="4" s="1"/>
  <c r="F40" i="4"/>
  <c r="G38" i="4" s="1"/>
  <c r="B198" i="8" l="1"/>
  <c r="G187" i="8"/>
  <c r="B192" i="8" s="1"/>
  <c r="D13" i="7" s="1"/>
  <c r="B195" i="8"/>
  <c r="G185" i="8"/>
  <c r="G188" i="8" s="1"/>
  <c r="B193" i="8" s="1"/>
  <c r="B190" i="8"/>
  <c r="G48" i="8"/>
  <c r="B57" i="8"/>
  <c r="B12" i="7" s="1"/>
  <c r="H47" i="8"/>
  <c r="B63" i="8"/>
  <c r="G50" i="8"/>
  <c r="B130" i="8"/>
  <c r="H114" i="8"/>
  <c r="B124" i="8"/>
  <c r="C12" i="7" s="1"/>
  <c r="G115" i="8"/>
  <c r="G117" i="8"/>
  <c r="E48" i="4"/>
  <c r="E20" i="5"/>
  <c r="E50" i="4"/>
  <c r="F52" i="4"/>
  <c r="F45" i="4"/>
  <c r="G39" i="4"/>
  <c r="D15" i="7" l="1"/>
  <c r="B199" i="8"/>
  <c r="B196" i="8"/>
  <c r="D11" i="7"/>
  <c r="G53" i="8"/>
  <c r="B58" i="8" s="1"/>
  <c r="B13" i="7" s="1"/>
  <c r="B64" i="8"/>
  <c r="G51" i="8"/>
  <c r="G54" i="8" s="1"/>
  <c r="B59" i="8" s="1"/>
  <c r="B56" i="8"/>
  <c r="B61" i="8"/>
  <c r="B131" i="8"/>
  <c r="G120" i="8"/>
  <c r="B125" i="8" s="1"/>
  <c r="C13" i="7" s="1"/>
  <c r="G118" i="8"/>
  <c r="G121" i="8" s="1"/>
  <c r="B126" i="8" s="1"/>
  <c r="B128" i="8"/>
  <c r="B123" i="8"/>
  <c r="E23" i="5"/>
  <c r="F48" i="4"/>
  <c r="F53" i="4" s="1"/>
  <c r="E53" i="4"/>
  <c r="E51" i="4"/>
  <c r="E22" i="5"/>
  <c r="F47" i="4"/>
  <c r="G41" i="4"/>
  <c r="G42" i="4" s="1"/>
  <c r="G44" i="4" s="1"/>
  <c r="G40" i="4"/>
  <c r="B15" i="7" l="1"/>
  <c r="B65" i="8"/>
  <c r="B62" i="8"/>
  <c r="B11" i="7"/>
  <c r="B132" i="8"/>
  <c r="C15" i="7"/>
  <c r="C11" i="7"/>
  <c r="B129" i="8"/>
  <c r="F23" i="5"/>
  <c r="E24" i="5"/>
  <c r="E54" i="4"/>
  <c r="F20" i="5"/>
  <c r="F50" i="4"/>
  <c r="G52" i="4"/>
  <c r="B60" i="4" s="1"/>
  <c r="G45" i="4"/>
  <c r="H44" i="4"/>
  <c r="J7" i="1" l="1"/>
  <c r="B8" i="5"/>
  <c r="D8" i="5" s="1"/>
  <c r="H45" i="4"/>
  <c r="G47" i="4"/>
  <c r="F22" i="5"/>
  <c r="F51" i="4"/>
  <c r="B30" i="5" l="1"/>
  <c r="G30" i="5"/>
  <c r="G48" i="4"/>
  <c r="H30" i="5"/>
  <c r="E30" i="5"/>
  <c r="H47" i="4"/>
  <c r="F30" i="5"/>
  <c r="D30" i="5"/>
  <c r="C30" i="5"/>
  <c r="B57" i="4"/>
  <c r="B63" i="4"/>
  <c r="B13" i="5" s="1"/>
  <c r="G20" i="5"/>
  <c r="G50" i="4"/>
  <c r="F24" i="5"/>
  <c r="G51" i="4"/>
  <c r="F54" i="4"/>
  <c r="G23" i="5" l="1"/>
  <c r="B64" i="4"/>
  <c r="G53" i="4"/>
  <c r="B58" i="4" s="1"/>
  <c r="B14" i="1" s="1"/>
  <c r="B7" i="5"/>
  <c r="D7" i="5" s="1"/>
  <c r="S4" i="1"/>
  <c r="F7" i="1"/>
  <c r="F8" i="1"/>
  <c r="B61" i="4"/>
  <c r="B56" i="4"/>
  <c r="G22" i="5"/>
  <c r="B25" i="5" s="1"/>
  <c r="G24" i="5"/>
  <c r="G54" i="4"/>
  <c r="B59" i="4" s="1"/>
  <c r="B65" i="4" l="1"/>
  <c r="J11" i="1"/>
  <c r="B14" i="5"/>
  <c r="B11" i="5"/>
  <c r="D11" i="5" s="1"/>
  <c r="N7" i="1"/>
  <c r="J8" i="1"/>
  <c r="B9" i="5"/>
  <c r="D9" i="5" s="1"/>
  <c r="B62" i="4"/>
  <c r="B10" i="5" s="1"/>
  <c r="D10" i="5" s="1"/>
  <c r="S3" i="1"/>
  <c r="B6" i="5"/>
  <c r="D6" i="5" s="1"/>
  <c r="B7" i="1"/>
  <c r="B12" i="5"/>
  <c r="D12" i="5" s="1"/>
  <c r="N8" i="1"/>
  <c r="J12" i="1" l="1"/>
  <c r="B15" i="5"/>
</calcChain>
</file>

<file path=xl/sharedStrings.xml><?xml version="1.0" encoding="utf-8"?>
<sst xmlns="http://schemas.openxmlformats.org/spreadsheetml/2006/main" count="604" uniqueCount="288">
  <si>
    <t>Salud Móvil · Plan financiero B2B</t>
  </si>
  <si>
    <t>ESCENARIO (elige uno)</t>
  </si>
  <si>
    <t>Base</t>
  </si>
  <si>
    <t>▼ Pesimista · Base · Optimista</t>
  </si>
  <si>
    <t>VAN (C$)</t>
  </si>
  <si>
    <t>TIR</t>
  </si>
  <si>
    <t>RCB (BENEFICIO / COSTO)</t>
  </si>
  <si>
    <t>PRI · RECUPERACIÓN (AÑOS)</t>
  </si>
  <si>
    <t>INGRESOS AÑO 5 (C$)</t>
  </si>
  <si>
    <t>EBITDA AÑO 5 (C$)</t>
  </si>
  <si>
    <t>FINANCIAMIENTO MÁXIMO (C$)</t>
  </si>
  <si>
    <t>MÍNIMO ESTABLE (INSTITUCIONES)</t>
  </si>
  <si>
    <t>EVOLUCIÓN DEL NEGOCIO</t>
  </si>
  <si>
    <t>CÓMO USAR ESTE MODELO</t>
  </si>
  <si>
    <t>1 · Elige el escenario arriba a la derecha (celda amarilla): todo el libro se recalcula.</t>
  </si>
  <si>
    <t>2 · Cambia precios, instituciones por año, costos e inversión en la hoja Supuestos (celdas azules con fondo crema).</t>
  </si>
  <si>
    <t>3 · Revisa los resultados en Modelo e Indicadores; el mínimo de instituciones para ser estable está en Equilibrio.</t>
  </si>
  <si>
    <t>4 · Escenarios compara los tres casos a la vez; Planes resume qué recibe cada institución según lo que contrate.</t>
  </si>
  <si>
    <t>Supuestos del modelo</t>
  </si>
  <si>
    <t>Celdas en azul con fondo crema = valores editables · negro = fórmulas · verde = vínculos a otras hojas. Todo el libro se recalcula solo.</t>
  </si>
  <si>
    <t>1 · Parámetros generales</t>
  </si>
  <si>
    <t>Tipo de cambio (C$ por US$)</t>
  </si>
  <si>
    <t>BCN: tipo de cambio oficial fijo en 2026 (deslizamiento 0%).</t>
  </si>
  <si>
    <t>TMAR (tasa mínima atractiva de rendimiento)</t>
  </si>
  <si>
    <t>Supuesto de la conversación: compensa inflación, costo de oportunidad y riesgo.</t>
  </si>
  <si>
    <t>Impuesto sobre la renta (IR)</t>
  </si>
  <si>
    <t>Supuesto a validar con un contador.</t>
  </si>
  <si>
    <t>Pago mínimo definitivo (% de ingresos brutos)</t>
  </si>
  <si>
    <t>Costo directo de implementación (% de la cuota)</t>
  </si>
  <si>
    <t>Capacitación, viáticos y horas de configuración.</t>
  </si>
  <si>
    <t>Colchón de seguridad para el mínimo estable</t>
  </si>
  <si>
    <t>20% = aguantar la salida de 1 de cada 5 instituciones.</t>
  </si>
  <si>
    <t>Vida útil para amortizar la inversión (años)</t>
  </si>
  <si>
    <t>Línea recta sobre toda la inversión inicial.</t>
  </si>
  <si>
    <t>Colchón sobre la necesidad de financiamiento</t>
  </si>
  <si>
    <t>Se redondea hacia arriba a múltiplos de C$50,000.</t>
  </si>
  <si>
    <t>Ventas y marketing (% de los costos fijos)</t>
  </si>
  <si>
    <t>Para calcular el CAC.</t>
  </si>
  <si>
    <t>Escenario activo (se cambia desde el Dashboard)</t>
  </si>
  <si>
    <t>2 · Planes y precios por institución</t>
  </si>
  <si>
    <t>Plan</t>
  </si>
  <si>
    <t>Precio mensual (C$)</t>
  </si>
  <si>
    <t>Cuota de implementación (C$)</t>
  </si>
  <si>
    <t>Costo variable (% de la suscripción)</t>
  </si>
  <si>
    <t>Bajas anuales</t>
  </si>
  <si>
    <t>Pacientes activos por institución</t>
  </si>
  <si>
    <t>Precio mensual (US$)</t>
  </si>
  <si>
    <t>Precio por paciente al mes (C$)</t>
  </si>
  <si>
    <t>Esencial</t>
  </si>
  <si>
    <t>Profesional</t>
  </si>
  <si>
    <t>Premium</t>
  </si>
  <si>
    <t>Los precios, límites y costos por plan son supuestos de este plan; validarlos con clientes reales antes del lanzamiento.</t>
  </si>
  <si>
    <t>3 · Instituciones de pago al cierre de cada año (netas de bajas)</t>
  </si>
  <si>
    <t>Año 1</t>
  </si>
  <si>
    <t>Año 2</t>
  </si>
  <si>
    <t>Año 3</t>
  </si>
  <si>
    <t>Año 4</t>
  </si>
  <si>
    <t>Año 5</t>
  </si>
  <si>
    <t>Conversación: 2, 5, 10, 18 y 30 instituciones de pago (no las 300 de cobertura).</t>
  </si>
  <si>
    <t>Total instituciones al cierre</t>
  </si>
  <si>
    <t>4 · Costos fijos anuales (C$)</t>
  </si>
  <si>
    <t>Concepto</t>
  </si>
  <si>
    <t>% del total</t>
  </si>
  <si>
    <t>Costos fijos totales</t>
  </si>
  <si>
    <t>Valores de la conversación; incluyen equipo, soporte, ventas, infraestructura y administración.</t>
  </si>
  <si>
    <t>Reparto por categoría (informativo)</t>
  </si>
  <si>
    <t>Equipo técnico (desarrollo y mantenimiento)</t>
  </si>
  <si>
    <t>Soporte y éxito del cliente</t>
  </si>
  <si>
    <t>Ventas y marketing B2B</t>
  </si>
  <si>
    <t>Infraestructura base y seguridad</t>
  </si>
  <si>
    <t>Administración, legal y contabilidad</t>
  </si>
  <si>
    <t>Control: el reparto debe sumar 100%</t>
  </si>
  <si>
    <t>5 · Inversión inicial (C$)</t>
  </si>
  <si>
    <t>Monto (C$)</t>
  </si>
  <si>
    <t>Tratamiento</t>
  </si>
  <si>
    <t>Desarrollo / MVP</t>
  </si>
  <si>
    <t>Activo intangible</t>
  </si>
  <si>
    <t>Infraestructura y configuración</t>
  </si>
  <si>
    <t>Seguridad y privacidad</t>
  </si>
  <si>
    <t>Marketing de lanzamiento</t>
  </si>
  <si>
    <t>Gasto preoperativo</t>
  </si>
  <si>
    <t>Capacitación y pilotos</t>
  </si>
  <si>
    <t>Legal y documentación</t>
  </si>
  <si>
    <t>Contingencia</t>
  </si>
  <si>
    <t>Inversión inicial total</t>
  </si>
  <si>
    <t>6 · Escenarios (palancas sobre el caso base)</t>
  </si>
  <si>
    <t>Escenario</t>
  </si>
  <si>
    <t>Instituciones (% del base)</t>
  </si>
  <si>
    <t>Precios (% de la lista)</t>
  </si>
  <si>
    <t>Costos variables (% del base)</t>
  </si>
  <si>
    <t>Costos fijos (% del base)</t>
  </si>
  <si>
    <t>Pesimista</t>
  </si>
  <si>
    <t>Pesimista: 60% de las instituciones, precios -10%, costos variables +20%.</t>
  </si>
  <si>
    <t>Optimista</t>
  </si>
  <si>
    <t>Optimista: 130% de las instituciones, precios +5%, costos variables -5%.</t>
  </si>
  <si>
    <t>Palancas activas (según el escenario elegido en el Dashboard)</t>
  </si>
  <si>
    <t>Matriz de planes para instituciones</t>
  </si>
  <si>
    <t>Los precios y la cuota se leen de Supuestos; el resto de las celdas (azul) son texto editable. † = función que debe construirse en la app.</t>
  </si>
  <si>
    <t>Característica</t>
  </si>
  <si>
    <t>Precio mensual por institución (C$)</t>
  </si>
  <si>
    <t>Cuota única de implementación (C$)</t>
  </si>
  <si>
    <t>Pacientes activos incluidos</t>
  </si>
  <si>
    <t>hasta 300</t>
  </si>
  <si>
    <t>hasta 1,000</t>
  </si>
  <si>
    <t>sin límite</t>
  </si>
  <si>
    <t>Historial y datos por paciente</t>
  </si>
  <si>
    <t>6 meses</t>
  </si>
  <si>
    <t>24 meses</t>
  </si>
  <si>
    <t>Indicadores, citas, recordatorios, historial médico y emergencia</t>
  </si>
  <si>
    <t>Sí</t>
  </si>
  <si>
    <t>Medicamentos</t>
  </si>
  <si>
    <t>Registro manual</t>
  </si>
  <si>
    <t>Registro manual + 30 escaneos por paciente al mes †</t>
  </si>
  <si>
    <t>Escáner ilimitado †</t>
  </si>
  <si>
    <t>Actividad física</t>
  </si>
  <si>
    <t>No incluida</t>
  </si>
  <si>
    <t>Registro básico</t>
  </si>
  <si>
    <t>Registro completo con metas e historial</t>
  </si>
  <si>
    <t>Familiares y cuidadores vinculados</t>
  </si>
  <si>
    <t>1 por paciente</t>
  </si>
  <si>
    <t>hasta 3</t>
  </si>
  <si>
    <t>IPCP (priorización de pacientes)</t>
  </si>
  <si>
    <t>No incluido</t>
  </si>
  <si>
    <t>Sí, con alertas al personal</t>
  </si>
  <si>
    <t>Recursos de salud</t>
  </si>
  <si>
    <t>Mapa de salud</t>
  </si>
  <si>
    <t>Mapa + referencias</t>
  </si>
  <si>
    <t>Mapa + referencias + tiempos de espera y guía de hospital</t>
  </si>
  <si>
    <t>Reportes institucionales</t>
  </si>
  <si>
    <t>Resumen mensual</t>
  </si>
  <si>
    <t>Tablero de uso</t>
  </si>
  <si>
    <t>Tablero + exportación + API †</t>
  </si>
  <si>
    <t>Soporte</t>
  </si>
  <si>
    <t>Correo (48 h)</t>
  </si>
  <si>
    <t>Correo y chat (24 h)</t>
  </si>
  <si>
    <t>Prioritario (4 h) y gestor de cuenta</t>
  </si>
  <si>
    <t>Marca propia</t>
  </si>
  <si>
    <t>No</t>
  </si>
  <si>
    <t>Logo de la institución</t>
  </si>
  <si>
    <t>Marca completa †</t>
  </si>
  <si>
    <t>Margen de contribución esperado del plan</t>
  </si>
  <si>
    <t>† No aparece en el código actual de la app móvil; su desarrollo debe entrar en la hoja de ruta de producto.</t>
  </si>
  <si>
    <t>Modelo financiero a 5 años · escenario activo del Dashboard</t>
  </si>
  <si>
    <t>Escenario:</t>
  </si>
  <si>
    <t>C$ (córdobas)</t>
  </si>
  <si>
    <t>Año 0</t>
  </si>
  <si>
    <t>Total 5 años</t>
  </si>
  <si>
    <t>Período (t)</t>
  </si>
  <si>
    <t>Instituciones de pago al cierre del año</t>
  </si>
  <si>
    <t xml:space="preserve">   Esencial</t>
  </si>
  <si>
    <t xml:space="preserve">   Profesional</t>
  </si>
  <si>
    <t xml:space="preserve">   Premium</t>
  </si>
  <si>
    <t>Total al cierre</t>
  </si>
  <si>
    <t>Instituciones facturadas (promedio del año)</t>
  </si>
  <si>
    <t>Total facturado</t>
  </si>
  <si>
    <t>Altas</t>
  </si>
  <si>
    <t xml:space="preserve">   Altas netas Esencial</t>
  </si>
  <si>
    <t xml:space="preserve">   Altas netas Profesional</t>
  </si>
  <si>
    <t xml:space="preserve">   Altas netas Premium</t>
  </si>
  <si>
    <t>Altas netas totales</t>
  </si>
  <si>
    <t>Altas brutas estimadas (netas + reposición de bajas)</t>
  </si>
  <si>
    <t>Ingresos (C$)</t>
  </si>
  <si>
    <t xml:space="preserve">   Suscripción Esencial</t>
  </si>
  <si>
    <t xml:space="preserve">   Suscripción Profesional</t>
  </si>
  <si>
    <t xml:space="preserve">   Suscripción Premium</t>
  </si>
  <si>
    <t>Ingresos por suscripción</t>
  </si>
  <si>
    <t>Cuotas de implementación</t>
  </si>
  <si>
    <t>INGRESOS TOTALES</t>
  </si>
  <si>
    <t>Costos (C$)</t>
  </si>
  <si>
    <t xml:space="preserve">   Costos variables de la suscripción</t>
  </si>
  <si>
    <t xml:space="preserve">   Costos directos de implementación</t>
  </si>
  <si>
    <t>Costos variables totales</t>
  </si>
  <si>
    <t>Costos fijos</t>
  </si>
  <si>
    <t>COSTOS TOTALES</t>
  </si>
  <si>
    <t>Estado de resultados (C$)</t>
  </si>
  <si>
    <t>EBITDA</t>
  </si>
  <si>
    <t xml:space="preserve">   Margen EBITDA</t>
  </si>
  <si>
    <t>(–) Amortización de la inversión</t>
  </si>
  <si>
    <t>Utilidad antes de impuestos</t>
  </si>
  <si>
    <t xml:space="preserve">   Pérdidas por compensar (inicio)</t>
  </si>
  <si>
    <t xml:space="preserve">   Pérdidas compensadas en el año</t>
  </si>
  <si>
    <t xml:space="preserve">   Pérdidas por compensar (cierre)</t>
  </si>
  <si>
    <t xml:space="preserve">   Base imponible</t>
  </si>
  <si>
    <t xml:space="preserve">   IR sobre la base imponible</t>
  </si>
  <si>
    <t xml:space="preserve">   Pago mínimo definitivo</t>
  </si>
  <si>
    <t>(–) Impuesto pagado (el mayor de los dos)</t>
  </si>
  <si>
    <t>UTILIDAD NETA</t>
  </si>
  <si>
    <t>Flujo de caja libre (C$)</t>
  </si>
  <si>
    <t>FLUJO DE CAJA LIBRE</t>
  </si>
  <si>
    <t xml:space="preserve">   Flujo acumulado</t>
  </si>
  <si>
    <t xml:space="preserve">   Factor de descuento (TMAR)</t>
  </si>
  <si>
    <t xml:space="preserve">   Flujo descontado</t>
  </si>
  <si>
    <t xml:space="preserve">   Flujo descontado acumulado</t>
  </si>
  <si>
    <t xml:space="preserve">   Egresos operativos + impuestos</t>
  </si>
  <si>
    <t xml:space="preserve">   Auxiliar PRI</t>
  </si>
  <si>
    <t xml:space="preserve">   Auxiliar PRI descontado</t>
  </si>
  <si>
    <t>Indicadores de evaluación</t>
  </si>
  <si>
    <t>PRI (años)</t>
  </si>
  <si>
    <t>PRI descontado (años)</t>
  </si>
  <si>
    <t>RCB (VP ingresos / VP egresos)</t>
  </si>
  <si>
    <t>RBC sobre flujos netos (definición de la conversación)</t>
  </si>
  <si>
    <t>Índice de rentabilidad (1 + VAN / inversión)</t>
  </si>
  <si>
    <t>ROI acumulado a 5 años</t>
  </si>
  <si>
    <t>Necesidad máxima de financiamiento (C$)</t>
  </si>
  <si>
    <t>Financiamiento recomendado (C$)</t>
  </si>
  <si>
    <t>Indicadores de evaluación financiera</t>
  </si>
  <si>
    <t>Calculados sobre el flujo de caja libre después de impuestos del escenario activo.</t>
  </si>
  <si>
    <t>Indicador</t>
  </si>
  <si>
    <t>Resultado</t>
  </si>
  <si>
    <t>Criterio</t>
  </si>
  <si>
    <t>Lectura</t>
  </si>
  <si>
    <t>TMAR</t>
  </si>
  <si>
    <t>Referencia</t>
  </si>
  <si>
    <t>VAN (valor actual neto, C$)</t>
  </si>
  <si>
    <t>Mayor que 0</t>
  </si>
  <si>
    <t>TIR (tasa interna de retorno)</t>
  </si>
  <si>
    <t>Mayor que la TMAR</t>
  </si>
  <si>
    <t>RCB (relación beneficio / costo)</t>
  </si>
  <si>
    <t>Mayor que 1</t>
  </si>
  <si>
    <t>Índice de rentabilidad</t>
  </si>
  <si>
    <t>PRI (recuperación de la inversión, años)</t>
  </si>
  <si>
    <t>Menor que 5 años</t>
  </si>
  <si>
    <t>Cálculo del VAN y del flujo acumulado (C$)</t>
  </si>
  <si>
    <t>Flujo de caja libre</t>
  </si>
  <si>
    <t>Factor de descuento</t>
  </si>
  <si>
    <t>Flujo descontado</t>
  </si>
  <si>
    <t>Flujo acumulado</t>
  </si>
  <si>
    <t>Flujo descontado acumulado</t>
  </si>
  <si>
    <t>VAN = suma del flujo descontado</t>
  </si>
  <si>
    <t>Sensibilidad del VAN a la TMAR (C$)</t>
  </si>
  <si>
    <t>TMAR (editable)</t>
  </si>
  <si>
    <t>VAN a esa TMAR</t>
  </si>
  <si>
    <t>La TIR es la TMAR a la cual el VAN se hace cero.</t>
  </si>
  <si>
    <t>Punto de equilibrio y mínimo de instituciones para la estabilidad</t>
  </si>
  <si>
    <t>Cuántas instituciones de pago se necesitan según la estructura de costos de cada año (escenario activo).</t>
  </si>
  <si>
    <t>Unidad</t>
  </si>
  <si>
    <t>Costos fijos del año</t>
  </si>
  <si>
    <t>C$</t>
  </si>
  <si>
    <t xml:space="preserve">   Participación Esencial</t>
  </si>
  <si>
    <t>%</t>
  </si>
  <si>
    <t xml:space="preserve">   Participación Profesional</t>
  </si>
  <si>
    <t xml:space="preserve">   Participación Premium</t>
  </si>
  <si>
    <t>Ingreso por suscripción por institución al año</t>
  </si>
  <si>
    <t>Margen de contribución por institución al año</t>
  </si>
  <si>
    <t>Amortización anual</t>
  </si>
  <si>
    <t>Equilibrio operativo (EBITDA = 0), exacto</t>
  </si>
  <si>
    <t>inst.</t>
  </si>
  <si>
    <t>Equilibrio contable (utilidad neta = 0), exacto</t>
  </si>
  <si>
    <t>Mínimo estable (equilibrio contable + colchón), exacto</t>
  </si>
  <si>
    <t>Instituciones necesarias: equilibrio operativo</t>
  </si>
  <si>
    <t>Instituciones necesarias: equilibrio contable</t>
  </si>
  <si>
    <t>Instituciones necesarias: MÍNIMO ESTABLE</t>
  </si>
  <si>
    <t>Instituciones proyectadas al cierre del año</t>
  </si>
  <si>
    <t>Colchón de la cartera proyectada sobre el mínimo estable</t>
  </si>
  <si>
    <t>Estado de la cartera proyectada</t>
  </si>
  <si>
    <t>Ingreso mensual por suscripciones del mínimo estable</t>
  </si>
  <si>
    <t>Mínimo de instituciones según el plan contratado</t>
  </si>
  <si>
    <t>Año de la estructura de costos a evaluar (1 a 5)</t>
  </si>
  <si>
    <t>Costos fijos de ese año (C$)</t>
  </si>
  <si>
    <t>Amortización anual (C$)</t>
  </si>
  <si>
    <t>Si todas las instituciones fueran del plan</t>
  </si>
  <si>
    <t>Margen anual por institución (C$)</t>
  </si>
  <si>
    <t>Equilibrio operativo</t>
  </si>
  <si>
    <t>Equilibrio contable</t>
  </si>
  <si>
    <t>Mínimo estable</t>
  </si>
  <si>
    <t>Mezcla de planes de ese año</t>
  </si>
  <si>
    <t>Costo de adquisición (CAC) y valor por cliente</t>
  </si>
  <si>
    <t>Ventas y marketing recurrente</t>
  </si>
  <si>
    <t>Marketing de lanzamiento (inversión inicial)</t>
  </si>
  <si>
    <t>Altas brutas estimadas</t>
  </si>
  <si>
    <t>CAC del año por institución nueva</t>
  </si>
  <si>
    <t>CAC promedio de los años 3 a 5</t>
  </si>
  <si>
    <t>Años de cliente esperados en 5 años</t>
  </si>
  <si>
    <t>LTV a 5 años (C$)</t>
  </si>
  <si>
    <t>CAC (C$)</t>
  </si>
  <si>
    <t>LTV / CAC</t>
  </si>
  <si>
    <t>Recuperación del CAC (meses)</t>
  </si>
  <si>
    <t>LTV = margen de 5 años (descontadas las bajas del plan) + cuota de implementación neta de su costo. CAC igual para los tres planes.</t>
  </si>
  <si>
    <t>Comparación de escenarios</t>
  </si>
  <si>
    <t>Los tres escenarios se calculan a la vez en la hoja Calc_Esc; las palancas se editan en Supuestos (sección 6).</t>
  </si>
  <si>
    <t>Instituciones al cierre del año 5</t>
  </si>
  <si>
    <t>Ingresos del año 5 (C$)</t>
  </si>
  <si>
    <t>EBITDA del año 5 (C$)</t>
  </si>
  <si>
    <t>RCB</t>
  </si>
  <si>
    <t>Los costos fijos no bajan en el escenario pesimista: el equipo necesario para atender el producto no se reduce si se venden menos planes.</t>
  </si>
  <si>
    <t>Escenario Pesimista · cálculo paralelo (no editar; se alimenta de Supuestos)</t>
  </si>
  <si>
    <t>Escenario Base · cálculo paralelo (no editar; se alimenta de Supuestos)</t>
  </si>
  <si>
    <t>Escenario Optimista · cálculo paralelo (no editar; se alimenta de Supuestos)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</si>
</sst>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%;\(0.0%\);&quot;-&quot;"/>
    <numFmt numFmtId="166" formatCode="#,##0;\(#,##0\);&quot;-&quot;"/>
    <numFmt numFmtId="167" formatCode="#,##0.0"/>
    <numFmt numFmtId="168" formatCode="&quot;≈ US$ &quot;#,##0"/>
    <numFmt numFmtId="169" formatCode="General;\-General;;@"/>
    <numFmt numFmtId="170" formatCode="#,##0.0;\(#,##0.0\);&quot;-&quot;"/>
    <numFmt numFmtId="171" formatCode="0.0"/>
    <numFmt numFmtId="172" formatCode="0.0%"/>
  </numFmts>
  <fonts count="2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5F6B7A"/>
      <name val="Arial"/>
    </font>
    <font>
      <b/>
      <sz val="10"/>
      <color rgb="FFFFFFFF"/>
      <name val="Arial"/>
    </font>
    <font>
      <sz val="10"/>
      <color rgb="FF1F2933"/>
      <name val="Arial"/>
    </font>
    <font>
      <sz val="10"/>
      <color rgb="FF0000FF"/>
      <name val="Arial"/>
    </font>
    <font>
      <b/>
      <sz val="10"/>
      <color rgb="FF007A33"/>
      <name val="Arial"/>
    </font>
    <font>
      <b/>
      <sz val="9"/>
      <color rgb="FFFFFFFF"/>
      <name val="Arial"/>
    </font>
    <font>
      <b/>
      <sz val="10"/>
      <color rgb="FF1F2933"/>
      <name val="Arial"/>
    </font>
    <font>
      <b/>
      <sz val="9"/>
      <color rgb="FF5F6B7A"/>
      <name val="Arial"/>
    </font>
    <font>
      <b/>
      <sz val="9"/>
      <color rgb="FF2E9E6B"/>
      <name val="Arial"/>
    </font>
    <font>
      <sz val="9"/>
      <color rgb="FF5F6B7A"/>
      <name val="Arial"/>
    </font>
    <font>
      <b/>
      <sz val="13"/>
      <color rgb="FF0B3954"/>
      <name val="Arial"/>
    </font>
    <font>
      <b/>
      <sz val="10"/>
      <color rgb="FF0B3954"/>
      <name val="Arial"/>
    </font>
    <font>
      <sz val="10"/>
      <color rgb="FF007A33"/>
      <name val="Arial"/>
    </font>
    <font>
      <b/>
      <sz val="11"/>
      <color rgb="FFE4572E"/>
      <name val="Arial"/>
    </font>
    <font>
      <sz val="9"/>
      <color rgb="FF1F2933"/>
      <name val="Arial"/>
    </font>
    <font>
      <b/>
      <sz val="9"/>
      <color rgb="FF1F2933"/>
      <name val="Arial"/>
    </font>
    <font>
      <b/>
      <sz val="24"/>
      <color rgb="FFFFFFFF"/>
      <name val="Arial"/>
    </font>
    <font>
      <sz val="10"/>
      <color rgb="FFBFD7E3"/>
      <name val="Arial"/>
    </font>
    <font>
      <b/>
      <sz val="8"/>
      <color rgb="FFBFD7E3"/>
      <name val="Arial"/>
    </font>
    <font>
      <b/>
      <sz val="14"/>
      <color rgb="FF0B3954"/>
      <name val="Arial"/>
    </font>
    <font>
      <sz val="8"/>
      <color rgb="FFBFD7E3"/>
      <name val="Arial"/>
    </font>
    <font>
      <sz val="8"/>
      <color rgb="FFF3F6F9"/>
      <name val="Arial"/>
    </font>
    <font>
      <b/>
      <sz val="8"/>
      <color rgb="FF5F6B7A"/>
      <name val="Arial"/>
    </font>
    <font>
      <b/>
      <sz val="22"/>
      <color rgb="FF0B3954"/>
      <name val="Arial"/>
    </font>
    <font>
      <sz val="8"/>
      <color rgb="FF5F6B7A"/>
      <name val="Arial"/>
    </font>
    <font>
      <b/>
      <sz val="11"/>
      <color rgb="FF0B3954"/>
      <name val="Arial"/>
    </font>
    <font>
      <b/>
      <sz val="10"/>
      <color rgb="FF5F6B7A"/>
      <name val="Arial"/>
    </font>
  </fonts>
  <fills count="10">
    <fill>
      <patternFill patternType="none"/>
    </fill>
    <fill>
      <patternFill patternType="gray125"/>
    </fill>
    <fill>
      <patternFill patternType="solid">
        <fgColor rgb="FF0B3954"/>
        <bgColor rgb="FF0B3954"/>
      </patternFill>
    </fill>
    <fill>
      <patternFill patternType="solid">
        <fgColor rgb="FF1F8A8A"/>
        <bgColor rgb="FF1F8A8A"/>
      </patternFill>
    </fill>
    <fill>
      <patternFill patternType="solid">
        <fgColor rgb="FFFFF8DC"/>
        <bgColor rgb="FFFFF8DC"/>
      </patternFill>
    </fill>
    <fill>
      <patternFill patternType="solid">
        <fgColor rgb="FFD7EEEC"/>
        <bgColor rgb="FFD7EEEC"/>
      </patternFill>
    </fill>
    <fill>
      <patternFill patternType="solid">
        <fgColor rgb="FFF7FBFB"/>
        <bgColor rgb="FFF7FBFB"/>
      </patternFill>
    </fill>
    <fill>
      <patternFill patternType="solid">
        <fgColor rgb="FFF3F6F9"/>
        <bgColor rgb="FFF3F6F9"/>
      </patternFill>
    </fill>
    <fill>
      <patternFill patternType="solid">
        <fgColor rgb="FFF2A541"/>
        <bgColor rgb="FFF2A541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>
      <left/>
      <right/>
      <top style="thin">
        <color rgb="FF0B3954"/>
      </top>
      <bottom/>
      <diagonal/>
    </border>
    <border>
      <left/>
      <right/>
      <top style="thick">
        <color rgb="FF1F8A8A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7" borderId="0" xfId="0" applyFill="1"/>
    <xf numFmtId="0" fontId="0" fillId="2" borderId="0" xfId="0" applyFill="1"/>
    <xf numFmtId="165" fontId="23" fillId="0" borderId="0" xfId="0" applyNumberFormat="1" applyFont="1"/>
    <xf numFmtId="166" fontId="23" fillId="0" borderId="0" xfId="0" applyNumberFormat="1" applyFont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164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1" fontId="5" fillId="4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166" fontId="5" fillId="4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0" fontId="8" fillId="0" borderId="2" xfId="0" applyFont="1" applyBorder="1"/>
    <xf numFmtId="3" fontId="8" fillId="0" borderId="2" xfId="0" applyNumberFormat="1" applyFont="1" applyBorder="1" applyAlignment="1">
      <alignment horizontal="right"/>
    </xf>
    <xf numFmtId="0" fontId="9" fillId="0" borderId="0" xfId="0" applyFont="1"/>
    <xf numFmtId="166" fontId="4" fillId="0" borderId="1" xfId="0" applyNumberFormat="1" applyFont="1" applyBorder="1" applyAlignment="1">
      <alignment horizontal="right"/>
    </xf>
    <xf numFmtId="9" fontId="5" fillId="4" borderId="1" xfId="0" applyNumberFormat="1" applyFont="1" applyFill="1" applyBorder="1" applyAlignment="1">
      <alignment horizontal="right"/>
    </xf>
    <xf numFmtId="9" fontId="8" fillId="0" borderId="2" xfId="0" applyNumberFormat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166" fontId="8" fillId="0" borderId="2" xfId="0" applyNumberFormat="1" applyFont="1" applyBorder="1" applyAlignment="1">
      <alignment horizontal="right"/>
    </xf>
    <xf numFmtId="168" fontId="11" fillId="0" borderId="0" xfId="0" applyNumberFormat="1" applyFont="1"/>
    <xf numFmtId="0" fontId="8" fillId="5" borderId="0" xfId="0" applyFont="1" applyFill="1"/>
    <xf numFmtId="9" fontId="8" fillId="5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1" fontId="2" fillId="0" borderId="0" xfId="0" applyNumberFormat="1" applyFont="1" applyAlignment="1">
      <alignment horizontal="center"/>
    </xf>
    <xf numFmtId="0" fontId="13" fillId="5" borderId="0" xfId="0" applyFont="1" applyFill="1"/>
    <xf numFmtId="169" fontId="4" fillId="0" borderId="0" xfId="0" applyNumberFormat="1" applyFont="1"/>
    <xf numFmtId="169" fontId="14" fillId="0" borderId="0" xfId="0" applyNumberFormat="1" applyFont="1"/>
    <xf numFmtId="170" fontId="8" fillId="0" borderId="2" xfId="0" applyNumberFormat="1" applyFont="1" applyBorder="1"/>
    <xf numFmtId="170" fontId="4" fillId="0" borderId="0" xfId="0" applyNumberFormat="1" applyFont="1"/>
    <xf numFmtId="166" fontId="4" fillId="0" borderId="0" xfId="0" applyNumberFormat="1" applyFont="1"/>
    <xf numFmtId="166" fontId="8" fillId="0" borderId="2" xfId="0" applyNumberFormat="1" applyFont="1" applyBorder="1"/>
    <xf numFmtId="166" fontId="14" fillId="0" borderId="0" xfId="0" applyNumberFormat="1" applyFont="1"/>
    <xf numFmtId="165" fontId="4" fillId="0" borderId="0" xfId="0" applyNumberFormat="1" applyFont="1"/>
    <xf numFmtId="166" fontId="11" fillId="0" borderId="0" xfId="0" applyNumberFormat="1" applyFont="1"/>
    <xf numFmtId="166" fontId="14" fillId="0" borderId="2" xfId="0" applyNumberFormat="1" applyFont="1" applyBorder="1"/>
    <xf numFmtId="164" fontId="11" fillId="0" borderId="0" xfId="0" applyNumberFormat="1" applyFont="1"/>
    <xf numFmtId="2" fontId="11" fillId="0" borderId="0" xfId="0" applyNumberFormat="1" applyFont="1"/>
    <xf numFmtId="166" fontId="8" fillId="6" borderId="1" xfId="0" applyNumberFormat="1" applyFont="1" applyFill="1" applyBorder="1" applyAlignment="1">
      <alignment horizontal="right"/>
    </xf>
    <xf numFmtId="166" fontId="8" fillId="0" borderId="0" xfId="0" applyNumberFormat="1" applyFont="1"/>
    <xf numFmtId="165" fontId="8" fillId="6" borderId="1" xfId="0" applyNumberFormat="1" applyFont="1" applyFill="1" applyBorder="1" applyAlignment="1">
      <alignment horizontal="right"/>
    </xf>
    <xf numFmtId="165" fontId="8" fillId="0" borderId="0" xfId="0" applyNumberFormat="1" applyFont="1"/>
    <xf numFmtId="2" fontId="8" fillId="6" borderId="1" xfId="0" applyNumberFormat="1" applyFont="1" applyFill="1" applyBorder="1" applyAlignment="1">
      <alignment horizontal="right"/>
    </xf>
    <xf numFmtId="2" fontId="8" fillId="0" borderId="0" xfId="0" applyNumberFormat="1" applyFont="1"/>
    <xf numFmtId="9" fontId="8" fillId="6" borderId="1" xfId="0" applyNumberFormat="1" applyFont="1" applyFill="1" applyBorder="1" applyAlignment="1">
      <alignment horizontal="right"/>
    </xf>
    <xf numFmtId="9" fontId="8" fillId="0" borderId="0" xfId="0" applyNumberFormat="1" applyFont="1"/>
    <xf numFmtId="165" fontId="6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166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166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9" fontId="5" fillId="4" borderId="1" xfId="0" applyNumberFormat="1" applyFont="1" applyFill="1" applyBorder="1" applyAlignment="1">
      <alignment horizontal="center"/>
    </xf>
    <xf numFmtId="9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13" fillId="5" borderId="0" xfId="0" applyNumberFormat="1" applyFont="1" applyFill="1" applyAlignment="1">
      <alignment horizontal="right"/>
    </xf>
    <xf numFmtId="171" fontId="14" fillId="0" borderId="0" xfId="0" applyNumberFormat="1" applyFont="1" applyAlignment="1">
      <alignment horizontal="right"/>
    </xf>
    <xf numFmtId="0" fontId="17" fillId="0" borderId="0" xfId="0" applyFont="1" applyAlignment="1">
      <alignment horizontal="center" wrapText="1"/>
    </xf>
    <xf numFmtId="1" fontId="5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13" fillId="5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right"/>
    </xf>
    <xf numFmtId="1" fontId="8" fillId="0" borderId="1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4" fillId="0" borderId="1" xfId="0" applyNumberFormat="1" applyFont="1" applyBorder="1" applyAlignment="1">
      <alignment horizontal="right"/>
    </xf>
    <xf numFmtId="171" fontId="8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9" fontId="14" fillId="0" borderId="0" xfId="0" applyNumberFormat="1" applyFont="1" applyAlignment="1">
      <alignment horizontal="right"/>
    </xf>
    <xf numFmtId="170" fontId="14" fillId="0" borderId="1" xfId="0" applyNumberFormat="1" applyFont="1" applyBorder="1" applyAlignment="1">
      <alignment horizontal="right"/>
    </xf>
    <xf numFmtId="166" fontId="14" fillId="0" borderId="1" xfId="0" applyNumberFormat="1" applyFont="1" applyBorder="1" applyAlignment="1">
      <alignment horizontal="right"/>
    </xf>
    <xf numFmtId="2" fontId="14" fillId="0" borderId="1" xfId="0" applyNumberFormat="1" applyFont="1" applyBorder="1" applyAlignment="1">
      <alignment horizontal="right"/>
    </xf>
    <xf numFmtId="0" fontId="19" fillId="2" borderId="0" xfId="0" applyFont="1" applyFill="1"/>
    <xf numFmtId="0" fontId="0" fillId="0" borderId="0" xfId="0"/>
    <xf numFmtId="0" fontId="24" fillId="9" borderId="3" xfId="0" applyFont="1" applyFill="1" applyBorder="1" applyAlignment="1">
      <alignment horizontal="left" vertical="center" indent="1"/>
    </xf>
    <xf numFmtId="0" fontId="0" fillId="9" borderId="3" xfId="0" applyFill="1" applyBorder="1"/>
    <xf numFmtId="166" fontId="25" fillId="9" borderId="0" xfId="0" applyNumberFormat="1" applyFont="1" applyFill="1" applyAlignment="1">
      <alignment horizontal="left" vertical="center" indent="1"/>
    </xf>
    <xf numFmtId="0" fontId="0" fillId="9" borderId="0" xfId="0" applyFill="1"/>
    <xf numFmtId="0" fontId="20" fillId="2" borderId="0" xfId="0" applyFont="1" applyFill="1" applyAlignment="1">
      <alignment horizontal="center"/>
    </xf>
    <xf numFmtId="0" fontId="26" fillId="9" borderId="0" xfId="0" applyFont="1" applyFill="1" applyAlignment="1">
      <alignment horizontal="left" vertical="center" indent="1"/>
    </xf>
    <xf numFmtId="0" fontId="27" fillId="9" borderId="0" xfId="0" applyFont="1" applyFill="1" applyAlignment="1">
      <alignment horizontal="left" vertical="center" indent="1"/>
    </xf>
    <xf numFmtId="0" fontId="16" fillId="9" borderId="0" xfId="0" applyFont="1" applyFill="1" applyAlignment="1">
      <alignment vertical="center" indent="1"/>
    </xf>
    <xf numFmtId="2" fontId="25" fillId="9" borderId="0" xfId="0" applyNumberFormat="1" applyFont="1" applyFill="1" applyAlignment="1">
      <alignment horizontal="left" vertical="center" indent="1"/>
    </xf>
    <xf numFmtId="0" fontId="28" fillId="7" borderId="0" xfId="0" applyFont="1" applyFill="1"/>
    <xf numFmtId="0" fontId="22" fillId="2" borderId="0" xfId="0" applyFont="1" applyFill="1" applyAlignment="1">
      <alignment horizontal="center"/>
    </xf>
    <xf numFmtId="1" fontId="25" fillId="9" borderId="0" xfId="0" applyNumberFormat="1" applyFont="1" applyFill="1" applyAlignment="1">
      <alignment horizontal="left" vertical="center" indent="1"/>
    </xf>
    <xf numFmtId="0" fontId="28" fillId="7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172" fontId="25" fillId="9" borderId="0" xfId="0" applyNumberFormat="1" applyFont="1" applyFill="1" applyAlignment="1">
      <alignment horizontal="left" vertical="center" indent="1"/>
    </xf>
    <xf numFmtId="0" fontId="21" fillId="8" borderId="0" xfId="0" applyFont="1" applyFill="1" applyAlignment="1">
      <alignment horizontal="center" vertical="center"/>
    </xf>
    <xf numFmtId="0" fontId="0" fillId="8" borderId="0" xfId="0" applyFill="1"/>
    <xf numFmtId="0" fontId="16" fillId="0" borderId="0" xfId="0" applyFont="1"/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31"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FFF1D6"/>
          <bgColor rgb="FFFFF1D6"/>
        </patternFill>
      </fill>
    </dxf>
    <dxf>
      <fill>
        <patternFill patternType="solid">
          <fgColor rgb="FFFFF1D6"/>
          <bgColor rgb="FFFFF1D6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ont>
        <b/>
        <color rgb="FFD64550"/>
      </font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ont>
        <b/>
        <color rgb="FFD64550"/>
      </font>
    </dxf>
    <dxf>
      <font>
        <b/>
        <color rgb="FFD64550"/>
      </font>
    </dxf>
    <dxf>
      <font>
        <b/>
        <color rgb="FF2E9E6B"/>
      </font>
    </dxf>
    <dxf>
      <font>
        <b/>
        <color rgb="FFD64550"/>
      </font>
    </dxf>
    <dxf>
      <font>
        <b/>
        <color rgb="FFD64550"/>
      </font>
    </dxf>
    <dxf>
      <font>
        <b/>
        <color rgb="FF2E9E6B"/>
      </font>
    </dxf>
    <dxf>
      <font>
        <b/>
        <color rgb="FFA12A33"/>
      </font>
      <fill>
        <patternFill patternType="solid">
          <fgColor rgb="FFFBE1E3"/>
          <bgColor rgb="FFFBE1E3"/>
        </patternFill>
      </fill>
    </dxf>
    <dxf>
      <font>
        <b/>
        <color rgb="FF1B6B49"/>
      </font>
      <fill>
        <patternFill patternType="solid">
          <fgColor rgb="FFDDF3E8"/>
          <bgColor rgb="FFDDF3E8"/>
        </patternFill>
      </fill>
    </dxf>
    <dxf>
      <font>
        <b/>
        <color rgb="FF2E9E6B"/>
      </font>
    </dxf>
    <dxf>
      <font>
        <b/>
        <color rgb="FFD645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Instituciones de pago al cierre de cada año, por plan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Esencial</c:v>
          </c:tx>
          <c:spPr>
            <a:solidFill>
              <a:srgbClr val="9BD3CF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B395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Modelo!$C$5:$G$5</c:f>
              <c:numCache>
                <c:formatCode>General;\-General;;@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6-4A8F-B6B2-49DB057167E4}"/>
            </c:ext>
          </c:extLst>
        </c:ser>
        <c:ser>
          <c:idx val="1"/>
          <c:order val="1"/>
          <c:tx>
            <c:v>Profesional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Modelo!$C$6:$G$6</c:f>
              <c:numCache>
                <c:formatCode>General;\-General;;@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6-4A8F-B6B2-49DB057167E4}"/>
            </c:ext>
          </c:extLst>
        </c:ser>
        <c:ser>
          <c:idx val="2"/>
          <c:order val="2"/>
          <c:tx>
            <c:v>Premium</c:v>
          </c:tx>
          <c:spPr>
            <a:solidFill>
              <a:srgbClr val="0B3954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Modelo!$C$7:$G$7</c:f>
              <c:numCache>
                <c:formatCode>General;\-General;;@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6-4A8F-B6B2-49DB0571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Ingresos y EBITDA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Ingresos totales</c:v>
          </c:tx>
          <c:spPr>
            <a:solidFill>
              <a:srgbClr val="5BB5B0"/>
            </a:solidFill>
            <a:ln>
              <a:prstDash val="solid"/>
            </a:ln>
          </c:spPr>
          <c:invertIfNegative val="0"/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Modelo!$C$26:$G$26</c:f>
              <c:numCache>
                <c:formatCode>#,##0;\(#,##0\);"-"</c:formatCode>
                <c:ptCount val="5"/>
                <c:pt idx="0">
                  <c:v>60000</c:v>
                </c:pt>
                <c:pt idx="1">
                  <c:v>224000</c:v>
                </c:pt>
                <c:pt idx="2">
                  <c:v>482000</c:v>
                </c:pt>
                <c:pt idx="3">
                  <c:v>904000</c:v>
                </c:pt>
                <c:pt idx="4">
                  <c:v>1530000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4-40CF-B51C-47D6BCC28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v>EBITDA</c:v>
          </c:tx>
          <c:spPr>
            <a:ln w="31750">
              <a:solidFill>
                <a:srgbClr val="E4572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4572E"/>
              </a:solidFill>
              <a:ln>
                <a:solidFill>
                  <a:srgbClr val="E4572E"/>
                </a:solidFill>
                <a:prstDash val="solid"/>
              </a:ln>
            </c:spPr>
          </c:marker>
          <c:val>
            <c:numRef>
              <c:f>Modelo!$C$34:$G$34</c:f>
              <c:numCache>
                <c:formatCode>#,##0;\(#,##0\);"-"</c:formatCode>
                <c:ptCount val="5"/>
                <c:pt idx="0">
                  <c:v>-100500</c:v>
                </c:pt>
                <c:pt idx="1">
                  <c:v>-26380</c:v>
                </c:pt>
                <c:pt idx="2">
                  <c:v>95360</c:v>
                </c:pt>
                <c:pt idx="3">
                  <c:v>341220</c:v>
                </c:pt>
                <c:pt idx="4">
                  <c:v>708200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4-40CF-B51C-47D6BCC28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Flujo de caja libre acumulado (C$)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Flujo acumulado</c:v>
          </c:tx>
          <c:spPr>
            <a:ln w="34925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Modelo!$B$2:$G$2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Modelo!$B$48:$G$48</c:f>
              <c:numCache>
                <c:formatCode>#,##0;\(#,##0\);"-"</c:formatCode>
                <c:ptCount val="6"/>
                <c:pt idx="0">
                  <c:v>-220000</c:v>
                </c:pt>
                <c:pt idx="1">
                  <c:v>-321100</c:v>
                </c:pt>
                <c:pt idx="2">
                  <c:v>-349720</c:v>
                </c:pt>
                <c:pt idx="3">
                  <c:v>-259180</c:v>
                </c:pt>
                <c:pt idx="4">
                  <c:v>41930</c:v>
                </c:pt>
                <c:pt idx="5">
                  <c:v>550870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9-42D4-A055-75C64AEC9471}"/>
            </c:ext>
          </c:extLst>
        </c:ser>
        <c:ser>
          <c:idx val="1"/>
          <c:order val="1"/>
          <c:tx>
            <c:v>Acumulado descontado</c:v>
          </c:tx>
          <c:spPr>
            <a:ln w="22225">
              <a:solidFill>
                <a:srgbClr val="A0A8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A0A8B3"/>
              </a:solidFill>
              <a:ln>
                <a:solidFill>
                  <a:srgbClr val="A0A8B3"/>
                </a:solidFill>
                <a:prstDash val="solid"/>
              </a:ln>
            </c:spPr>
          </c:marker>
          <c:cat>
            <c:strRef>
              <c:f>Modelo!$B$2:$G$2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Modelo!$B$51:$G$51</c:f>
              <c:numCache>
                <c:formatCode>#,##0;\(#,##0\);"-"</c:formatCode>
                <c:ptCount val="6"/>
                <c:pt idx="0">
                  <c:v>-220000</c:v>
                </c:pt>
                <c:pt idx="1">
                  <c:v>-307913.04347826086</c:v>
                </c:pt>
                <c:pt idx="2">
                  <c:v>-329553.87523629487</c:v>
                </c:pt>
                <c:pt idx="3">
                  <c:v>-270022.35555190267</c:v>
                </c:pt>
                <c:pt idx="4">
                  <c:v>-97861.735771384381</c:v>
                </c:pt>
                <c:pt idx="5">
                  <c:v>155171.39189132728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9-42D4-A055-75C64AEC9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Instituciones proyectadas frente al mínimo estable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Proyectadas</c:v>
          </c:tx>
          <c:spPr>
            <a:ln w="34925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Equilibrio!$C$18:$G$18</c:f>
              <c:numCache>
                <c:formatCode>0.0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18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3-4F8E-94CB-10382C497815}"/>
            </c:ext>
          </c:extLst>
        </c:ser>
        <c:ser>
          <c:idx val="1"/>
          <c:order val="1"/>
          <c:tx>
            <c:v>Mínimo estable</c:v>
          </c:tx>
          <c:spPr>
            <a:ln w="25400">
              <a:solidFill>
                <a:srgbClr val="0B395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B3954"/>
              </a:solidFill>
              <a:ln>
                <a:solidFill>
                  <a:srgbClr val="0B3954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Equilibrio!$C$17:$G$17</c:f>
              <c:numCache>
                <c:formatCode>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3-4F8E-94CB-10382C497815}"/>
            </c:ext>
          </c:extLst>
        </c:ser>
        <c:ser>
          <c:idx val="2"/>
          <c:order val="2"/>
          <c:tx>
            <c:v>Equilibrio operativo</c:v>
          </c:tx>
          <c:spPr>
            <a:ln w="19050">
              <a:solidFill>
                <a:srgbClr val="A0A8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A0A8B3"/>
              </a:solidFill>
              <a:ln>
                <a:solidFill>
                  <a:srgbClr val="A0A8B3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Equilibrio!$C$15:$G$15</c:f>
              <c:numCache>
                <c:formatCode>0</c:formatCode>
                <c:ptCount val="5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3-4F8E-94CB-10382C497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Suscripciones del año 5 por plan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Suscripción año 5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BD3C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89-4C27-9D96-355006392043}"/>
              </c:ext>
            </c:extLst>
          </c:dPt>
          <c:dPt>
            <c:idx val="1"/>
            <c:bubble3D val="0"/>
            <c:spPr>
              <a:solidFill>
                <a:srgbClr val="1F8A8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89-4C27-9D96-355006392043}"/>
              </c:ext>
            </c:extLst>
          </c:dPt>
          <c:dPt>
            <c:idx val="2"/>
            <c:bubble3D val="0"/>
            <c:spPr>
              <a:solidFill>
                <a:srgbClr val="0B395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89-4C27-9D96-3550063920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Modelo!$A$21:$A$23</c:f>
              <c:strCache>
                <c:ptCount val="3"/>
                <c:pt idx="0">
                  <c:v>   Suscripción Esencial</c:v>
                </c:pt>
                <c:pt idx="1">
                  <c:v>   Suscripción Profesional</c:v>
                </c:pt>
                <c:pt idx="2">
                  <c:v>   Suscripción Premium</c:v>
                </c:pt>
              </c:strCache>
            </c:strRef>
          </c:cat>
          <c:val>
            <c:numRef>
              <c:f>Modelo!$G$21:$G$23</c:f>
              <c:numCache>
                <c:formatCode>#,##0;\(#,##0\);"-"</c:formatCode>
                <c:ptCount val="3"/>
                <c:pt idx="0">
                  <c:v>270000</c:v>
                </c:pt>
                <c:pt idx="1">
                  <c:v>600000</c:v>
                </c:pt>
                <c:pt idx="2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89-4C27-9D96-35500639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VAN por escenario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VAN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645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A2-49F3-8FA3-B453EE45295A}"/>
              </c:ext>
            </c:extLst>
          </c:dPt>
          <c:dPt>
            <c:idx val="1"/>
            <c:invertIfNegative val="0"/>
            <c:bubble3D val="0"/>
            <c:spPr>
              <a:solidFill>
                <a:srgbClr val="A0A8B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A2-49F3-8FA3-B453EE45295A}"/>
              </c:ext>
            </c:extLst>
          </c:dPt>
          <c:dPt>
            <c:idx val="2"/>
            <c:invertIfNegative val="0"/>
            <c:bubble3D val="0"/>
            <c:spPr>
              <a:solidFill>
                <a:srgbClr val="2E9E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A2-49F3-8FA3-B453EE45295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Escenarios!$B$4:$D$4</c:f>
              <c:strCache>
                <c:ptCount val="3"/>
                <c:pt idx="0">
                  <c:v>Pesimista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Escenarios!$B$11:$D$11</c:f>
              <c:numCache>
                <c:formatCode>#,##0;\(#,##0\);"-"</c:formatCode>
                <c:ptCount val="3"/>
                <c:pt idx="0">
                  <c:v>-442424.09349408507</c:v>
                </c:pt>
                <c:pt idx="1">
                  <c:v>155171.39189132728</c:v>
                </c:pt>
                <c:pt idx="2">
                  <c:v>558885.50997422007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A2-49F3-8FA3-B453EE45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sz="1100" b="1">
                <a:solidFill>
                  <a:srgbClr val="0B3954"/>
                </a:solidFill>
                <a:latin typeface="Arial"/>
              </a:rPr>
              <a:t>VAN según la TMAR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VAN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Indicadores!$B$29:$H$29</c:f>
              <c:numCache>
                <c:formatCode>0%</c:formatCode>
                <c:ptCount val="7"/>
                <c:pt idx="0">
                  <c:v>0.1</c:v>
                </c:pt>
                <c:pt idx="1">
                  <c:v>0.12</c:v>
                </c:pt>
                <c:pt idx="2">
                  <c:v>0.15</c:v>
                </c:pt>
                <c:pt idx="3">
                  <c:v>0.18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Indicadores!$B$30:$H$30</c:f>
              <c:numCache>
                <c:formatCode>#,##0;\(#,##0\);"-"</c:formatCode>
                <c:ptCount val="7"/>
                <c:pt idx="0">
                  <c:v>254135.93830525718</c:v>
                </c:pt>
                <c:pt idx="1">
                  <c:v>211508.11025656146</c:v>
                </c:pt>
                <c:pt idx="2">
                  <c:v>155171.39189132728</c:v>
                </c:pt>
                <c:pt idx="3">
                  <c:v>106644.58743624281</c:v>
                </c:pt>
                <c:pt idx="4">
                  <c:v>78013.6316872428</c:v>
                </c:pt>
                <c:pt idx="5">
                  <c:v>17263.795200000022</c:v>
                </c:pt>
                <c:pt idx="6">
                  <c:v>-30994.080146945955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C-4A5C-9700-346A97488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sz="1100" b="1">
                <a:solidFill>
                  <a:srgbClr val="0B3954"/>
                </a:solidFill>
                <a:latin typeface="Arial"/>
              </a:rPr>
              <a:t>Instituciones proyectadas frente al mínimo estable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Proyectadas</c:v>
          </c:tx>
          <c:spPr>
            <a:ln w="28575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Equilibrio!$C$18:$G$18</c:f>
              <c:numCache>
                <c:formatCode>0.0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18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6-48C5-B48F-7F519C3A7C9B}"/>
            </c:ext>
          </c:extLst>
        </c:ser>
        <c:ser>
          <c:idx val="1"/>
          <c:order val="1"/>
          <c:tx>
            <c:v>Mínimo estable</c:v>
          </c:tx>
          <c:spPr>
            <a:ln w="28575">
              <a:solidFill>
                <a:srgbClr val="0B395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B3954"/>
              </a:solidFill>
              <a:ln>
                <a:solidFill>
                  <a:srgbClr val="0B3954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Equilibrio!$C$17:$G$17</c:f>
              <c:numCache>
                <c:formatCode>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6-48C5-B48F-7F519C3A7C9B}"/>
            </c:ext>
          </c:extLst>
        </c:ser>
        <c:ser>
          <c:idx val="2"/>
          <c:order val="2"/>
          <c:tx>
            <c:v>Equilibrio operativo</c:v>
          </c:tx>
          <c:spPr>
            <a:ln w="19050">
              <a:solidFill>
                <a:srgbClr val="A0A8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A0A8B3"/>
              </a:solidFill>
              <a:ln>
                <a:solidFill>
                  <a:srgbClr val="A0A8B3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Equilibrio!$C$15:$G$15</c:f>
              <c:numCache>
                <c:formatCode>0</c:formatCode>
                <c:ptCount val="5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6-48C5-B48F-7F519C3A7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sz="1100" b="1">
                <a:solidFill>
                  <a:srgbClr val="0B3954"/>
                </a:solidFill>
                <a:latin typeface="Arial"/>
              </a:rPr>
              <a:t>VAN por escenario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VAN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645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F9-427D-87F7-C5E2286CF1AD}"/>
              </c:ext>
            </c:extLst>
          </c:dPt>
          <c:dPt>
            <c:idx val="1"/>
            <c:invertIfNegative val="0"/>
            <c:bubble3D val="0"/>
            <c:spPr>
              <a:solidFill>
                <a:srgbClr val="A0A8B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2F9-427D-87F7-C5E2286CF1AD}"/>
              </c:ext>
            </c:extLst>
          </c:dPt>
          <c:dPt>
            <c:idx val="2"/>
            <c:invertIfNegative val="0"/>
            <c:bubble3D val="0"/>
            <c:spPr>
              <a:solidFill>
                <a:srgbClr val="2E9E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2F9-427D-87F7-C5E2286CF1A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Escenarios!$B$4:$D$4</c:f>
              <c:strCache>
                <c:ptCount val="3"/>
                <c:pt idx="0">
                  <c:v>Pesimista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Escenarios!$B$11:$D$11</c:f>
              <c:numCache>
                <c:formatCode>#,##0;\(#,##0\);"-"</c:formatCode>
                <c:ptCount val="3"/>
                <c:pt idx="0">
                  <c:v>-442424.09349408507</c:v>
                </c:pt>
                <c:pt idx="1">
                  <c:v>155171.39189132728</c:v>
                </c:pt>
                <c:pt idx="2">
                  <c:v>558885.50997422007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F9-427D-87F7-C5E2286CF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328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</xdr:row>
      <xdr:rowOff>0</xdr:rowOff>
    </xdr:from>
    <xdr:ext cx="5328000" cy="273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5328000" cy="273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32</xdr:row>
      <xdr:rowOff>0</xdr:rowOff>
    </xdr:from>
    <xdr:ext cx="5328000" cy="273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48</xdr:row>
      <xdr:rowOff>0</xdr:rowOff>
    </xdr:from>
    <xdr:ext cx="5328000" cy="273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48</xdr:row>
      <xdr:rowOff>0</xdr:rowOff>
    </xdr:from>
    <xdr:ext cx="5328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612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0</xdr:rowOff>
    </xdr:from>
    <xdr:ext cx="5580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5580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954"/>
    <pageSetUpPr fitToPage="1"/>
  </sheetPr>
  <dimension ref="A1:S81"/>
  <sheetViews>
    <sheetView showGridLines="0" tabSelected="1" workbookViewId="0"/>
  </sheetViews>
  <sheetFormatPr baseColWidth="10" defaultColWidth="8.88671875" defaultRowHeight="14.4" x14ac:dyDescent="0.3"/>
  <cols>
    <col min="1" max="1" width="2" customWidth="1"/>
    <col min="2" max="4" width="12.44140625" customWidth="1"/>
    <col min="5" max="5" width="2" customWidth="1"/>
    <col min="6" max="8" width="12.44140625" customWidth="1"/>
    <col min="9" max="9" width="2" customWidth="1"/>
    <col min="10" max="12" width="12.44140625" customWidth="1"/>
    <col min="13" max="13" width="2" customWidth="1"/>
    <col min="14" max="16" width="12.44140625" customWidth="1"/>
    <col min="17" max="17" width="2" customWidth="1"/>
    <col min="18" max="18" width="3" customWidth="1"/>
    <col min="19" max="19" width="10" hidden="1" customWidth="1"/>
  </cols>
  <sheetData>
    <row r="1" spans="1:19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9.95" customHeight="1" x14ac:dyDescent="0.3">
      <c r="A2" s="1"/>
      <c r="B2" s="106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2"/>
      <c r="N2" s="97" t="s">
        <v>1</v>
      </c>
      <c r="O2" s="92"/>
      <c r="P2" s="92"/>
      <c r="Q2" s="1"/>
      <c r="S2" s="3">
        <f>Supuestos!B6</f>
        <v>0.15</v>
      </c>
    </row>
    <row r="3" spans="1:19" ht="25.95" customHeight="1" x14ac:dyDescent="0.3">
      <c r="A3" s="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2"/>
      <c r="N3" s="108" t="s">
        <v>2</v>
      </c>
      <c r="O3" s="109"/>
      <c r="P3" s="109"/>
      <c r="Q3" s="1"/>
      <c r="S3" s="4">
        <f>Modelo!B56</f>
        <v>155171.39189132728</v>
      </c>
    </row>
    <row r="4" spans="1:19" ht="18" customHeight="1" x14ac:dyDescent="0.3">
      <c r="A4" s="1"/>
      <c r="B4" s="91" t="str">
        <f>"Venta de la app a clínicas y hospitales · cifras en córdobas (C$) · horizonte 5 años · TMAR "&amp;TEXT(Supuestos!B6,"0%")</f>
        <v>Venta de la app a clínicas y hospitales · cifras en córdobas (C$) · horizonte 5 años · TMAR 15%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2"/>
      <c r="N4" s="103" t="s">
        <v>3</v>
      </c>
      <c r="O4" s="92"/>
      <c r="P4" s="92"/>
      <c r="Q4" s="1"/>
      <c r="S4" s="3">
        <f>Modelo!B57</f>
        <v>0.26661660915823648</v>
      </c>
    </row>
    <row r="5" spans="1:19" ht="7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9" ht="19.95" customHeight="1" x14ac:dyDescent="0.3">
      <c r="A6" s="1"/>
      <c r="B6" s="93" t="s">
        <v>4</v>
      </c>
      <c r="C6" s="94"/>
      <c r="D6" s="94"/>
      <c r="E6" s="1"/>
      <c r="F6" s="93" t="s">
        <v>5</v>
      </c>
      <c r="G6" s="94"/>
      <c r="H6" s="94"/>
      <c r="I6" s="1"/>
      <c r="J6" s="93" t="s">
        <v>6</v>
      </c>
      <c r="K6" s="94"/>
      <c r="L6" s="94"/>
      <c r="M6" s="1"/>
      <c r="N6" s="93" t="s">
        <v>7</v>
      </c>
      <c r="O6" s="94"/>
      <c r="P6" s="94"/>
      <c r="Q6" s="1"/>
    </row>
    <row r="7" spans="1:19" ht="36" customHeight="1" x14ac:dyDescent="0.3">
      <c r="A7" s="1"/>
      <c r="B7" s="95">
        <f>Modelo!B56</f>
        <v>155171.39189132728</v>
      </c>
      <c r="C7" s="96"/>
      <c r="D7" s="96"/>
      <c r="E7" s="1"/>
      <c r="F7" s="107">
        <f>Modelo!B57</f>
        <v>0.26661660915823648</v>
      </c>
      <c r="G7" s="96"/>
      <c r="H7" s="96"/>
      <c r="I7" s="1"/>
      <c r="J7" s="101">
        <f>Modelo!B60</f>
        <v>1.0934290783200356</v>
      </c>
      <c r="K7" s="96"/>
      <c r="L7" s="96"/>
      <c r="M7" s="1"/>
      <c r="N7" s="101">
        <f>Modelo!B58</f>
        <v>3.8607485636478365</v>
      </c>
      <c r="O7" s="96"/>
      <c r="P7" s="96"/>
      <c r="Q7" s="1"/>
    </row>
    <row r="8" spans="1:19" ht="19.95" customHeight="1" x14ac:dyDescent="0.3">
      <c r="A8" s="1"/>
      <c r="B8" s="98" t="str">
        <f>"Al "&amp;TEXT(Supuestos!B6,"0%")&amp;" · criterio: mayor que 0"</f>
        <v>Al 15% · criterio: mayor que 0</v>
      </c>
      <c r="C8" s="96"/>
      <c r="D8" s="96"/>
      <c r="E8" s="1"/>
      <c r="F8" s="98" t="str">
        <f>"vs TMAR "&amp;TEXT(Supuestos!B6,"0%")&amp;" · "&amp;IF(ISNUMBER(Modelo!B57),IF(Modelo!B57&gt;Supuestos!B6,"la supera","por debajo"),"no definida")</f>
        <v>vs TMAR 15% · la supera</v>
      </c>
      <c r="G8" s="96"/>
      <c r="H8" s="96"/>
      <c r="I8" s="1"/>
      <c r="J8" s="98" t="str">
        <f>"Criterio: mayor que 1 · RBC neto "&amp;IF(ISNUMBER(Modelo!B61),TEXT(Modelo!B61,"0.00"),"n/d")</f>
        <v>Criterio: mayor que 1 · RBC neto 1.47</v>
      </c>
      <c r="K8" s="96"/>
      <c r="L8" s="96"/>
      <c r="M8" s="1"/>
      <c r="N8" s="98" t="str">
        <f>"Descontado: "&amp;IF(ISNUMBER(Modelo!B59),TEXT(Modelo!B59,"0.00")&amp;" años","no se recupera")</f>
        <v>Descontado: 4.39 años</v>
      </c>
      <c r="O8" s="96"/>
      <c r="P8" s="96"/>
      <c r="Q8" s="1"/>
    </row>
    <row r="9" spans="1:19" ht="7.9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9" ht="19.95" customHeight="1" x14ac:dyDescent="0.3">
      <c r="A10" s="1"/>
      <c r="B10" s="93" t="s">
        <v>8</v>
      </c>
      <c r="C10" s="94"/>
      <c r="D10" s="94"/>
      <c r="E10" s="1"/>
      <c r="F10" s="93" t="s">
        <v>9</v>
      </c>
      <c r="G10" s="94"/>
      <c r="H10" s="94"/>
      <c r="I10" s="1"/>
      <c r="J10" s="93" t="s">
        <v>10</v>
      </c>
      <c r="K10" s="94"/>
      <c r="L10" s="94"/>
      <c r="M10" s="1"/>
      <c r="N10" s="93" t="s">
        <v>11</v>
      </c>
      <c r="O10" s="94"/>
      <c r="P10" s="94"/>
      <c r="Q10" s="1"/>
    </row>
    <row r="11" spans="1:19" ht="36" customHeight="1" x14ac:dyDescent="0.3">
      <c r="A11" s="1"/>
      <c r="B11" s="95">
        <f>Modelo!G26</f>
        <v>1530000</v>
      </c>
      <c r="C11" s="96"/>
      <c r="D11" s="96"/>
      <c r="E11" s="1"/>
      <c r="F11" s="95">
        <f>Modelo!G34</f>
        <v>708200</v>
      </c>
      <c r="G11" s="96"/>
      <c r="H11" s="96"/>
      <c r="I11" s="1"/>
      <c r="J11" s="95">
        <f>Modelo!B64</f>
        <v>349720</v>
      </c>
      <c r="K11" s="96"/>
      <c r="L11" s="96"/>
      <c r="M11" s="1"/>
      <c r="N11" s="104">
        <f>Equilibrio!E32</f>
        <v>10</v>
      </c>
      <c r="O11" s="96"/>
      <c r="P11" s="96"/>
      <c r="Q11" s="1"/>
    </row>
    <row r="12" spans="1:19" ht="19.95" customHeight="1" x14ac:dyDescent="0.3">
      <c r="A12" s="1"/>
      <c r="B12" s="98" t="str">
        <f>"Suscripciones: "&amp;TEXT(Modelo!G24/Modelo!G26,"0%")&amp;" del total"</f>
        <v>Suscripciones: 92% del total</v>
      </c>
      <c r="C12" s="96"/>
      <c r="D12" s="96"/>
      <c r="E12" s="1"/>
      <c r="F12" s="98" t="str">
        <f>"Margen EBITDA: "&amp;TEXT(Modelo!G35,"0%")</f>
        <v>Margen EBITDA: 46%</v>
      </c>
      <c r="G12" s="96"/>
      <c r="H12" s="96"/>
      <c r="I12" s="1"/>
      <c r="J12" s="98" t="str">
        <f>"Recomendado reunir: C$ "&amp;TEXT(Modelo!B65,"#,##0")</f>
        <v>Recomendado reunir: C$ 400,000</v>
      </c>
      <c r="K12" s="96"/>
      <c r="L12" s="96"/>
      <c r="M12" s="1"/>
      <c r="N12" s="98" t="str">
        <f>"Estructura de costos del año "&amp;Equilibrio!B25&amp;" · equilibrio contable: "&amp;Equilibrio!D32</f>
        <v>Estructura de costos del año 3 · equilibrio contable: 8</v>
      </c>
      <c r="O12" s="96"/>
      <c r="P12" s="96"/>
      <c r="Q12" s="1"/>
    </row>
    <row r="13" spans="1:19" ht="7.9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9" ht="30" customHeight="1" x14ac:dyDescent="0.3">
      <c r="A14" s="1"/>
      <c r="B14" s="99" t="str">
        <f>IF(AND(ISNUMBER(Modelo!B57),Modelo!B56&gt;0,Modelo!B57&gt;Supuestos!B6),"VIABLE · Escenario "&amp;Supuestos!B14&amp;": VAN positivo, TIR sobre la TMAR y la inversión se recupera en "&amp;IF(ISNUMBER(Modelo!B58),TEXT(Modelo!B58,"0.0")&amp;" años","más de 5 años")&amp;".","NO VIABLE · Escenario "&amp;Supuestos!B14&amp;": el VAN o la TIR no alcanzan el rendimiento mínimo exigido.")</f>
        <v>VIABLE · Escenario Base: VAN positivo, TIR sobre la TMAR y la inversión se recupera en 3.9 años.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1"/>
    </row>
    <row r="15" spans="1:19" ht="7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9" ht="22.05" customHeight="1" x14ac:dyDescent="0.3">
      <c r="A16" s="1"/>
      <c r="B16" s="105" t="s">
        <v>12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02" t="s">
        <v>13</v>
      </c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1"/>
    </row>
    <row r="66" spans="1:17" ht="18" customHeight="1" x14ac:dyDescent="0.3">
      <c r="A66" s="1"/>
      <c r="B66" s="100" t="s">
        <v>14</v>
      </c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1"/>
    </row>
    <row r="67" spans="1:17" ht="18" customHeight="1" x14ac:dyDescent="0.3">
      <c r="A67" s="1"/>
      <c r="B67" s="100" t="s">
        <v>15</v>
      </c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1"/>
    </row>
    <row r="68" spans="1:17" ht="18" customHeight="1" x14ac:dyDescent="0.3">
      <c r="A68" s="1"/>
      <c r="B68" s="100" t="s">
        <v>16</v>
      </c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1"/>
    </row>
    <row r="69" spans="1:17" ht="18" customHeight="1" x14ac:dyDescent="0.3">
      <c r="A69" s="1"/>
      <c r="B69" s="100" t="s">
        <v>17</v>
      </c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1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</sheetData>
  <mergeCells count="36">
    <mergeCell ref="B69:P69"/>
    <mergeCell ref="N10:P10"/>
    <mergeCell ref="B65:P65"/>
    <mergeCell ref="J12:L12"/>
    <mergeCell ref="B6:D6"/>
    <mergeCell ref="N6:P6"/>
    <mergeCell ref="B68:P68"/>
    <mergeCell ref="J8:L8"/>
    <mergeCell ref="B7:D7"/>
    <mergeCell ref="F11:H11"/>
    <mergeCell ref="N11:P11"/>
    <mergeCell ref="N7:P7"/>
    <mergeCell ref="F10:H10"/>
    <mergeCell ref="F6:H6"/>
    <mergeCell ref="B16:P16"/>
    <mergeCell ref="J10:L10"/>
    <mergeCell ref="B14:P14"/>
    <mergeCell ref="B67:P67"/>
    <mergeCell ref="F8:H8"/>
    <mergeCell ref="N8:P8"/>
    <mergeCell ref="J11:L11"/>
    <mergeCell ref="B10:D10"/>
    <mergeCell ref="B66:P66"/>
    <mergeCell ref="F12:H12"/>
    <mergeCell ref="B12:D12"/>
    <mergeCell ref="N12:P12"/>
    <mergeCell ref="B4:L4"/>
    <mergeCell ref="J6:L6"/>
    <mergeCell ref="B11:D11"/>
    <mergeCell ref="N2:P2"/>
    <mergeCell ref="B8:D8"/>
    <mergeCell ref="J7:L7"/>
    <mergeCell ref="N4:P4"/>
    <mergeCell ref="B2:L3"/>
    <mergeCell ref="F7:H7"/>
    <mergeCell ref="N3:P3"/>
  </mergeCells>
  <conditionalFormatting sqref="B7:D7">
    <cfRule type="cellIs" dxfId="30" priority="1" operator="lessThan">
      <formula>0</formula>
    </cfRule>
    <cfRule type="cellIs" dxfId="29" priority="6" operator="greaterThan">
      <formula>0</formula>
    </cfRule>
  </conditionalFormatting>
  <conditionalFormatting sqref="B14:P14">
    <cfRule type="expression" dxfId="28" priority="9">
      <formula>LEFT($B$14,6)="VIABLE"</formula>
    </cfRule>
    <cfRule type="expression" dxfId="27" priority="10">
      <formula>LEFT($B$14,2)="NO"</formula>
    </cfRule>
  </conditionalFormatting>
  <conditionalFormatting sqref="F7:H7">
    <cfRule type="expression" dxfId="26" priority="2">
      <formula>AND(ISNUMBER($F$7),$F$7&gt;$S$2)</formula>
    </cfRule>
    <cfRule type="expression" dxfId="25" priority="3">
      <formula>NOT(AND(ISNUMBER($F$7),$F$7&gt;$S$2))</formula>
    </cfRule>
  </conditionalFormatting>
  <conditionalFormatting sqref="F11:H11">
    <cfRule type="cellIs" dxfId="24" priority="8" operator="lessThan">
      <formula>0</formula>
    </cfRule>
  </conditionalFormatting>
  <conditionalFormatting sqref="J7:L7">
    <cfRule type="expression" dxfId="23" priority="4">
      <formula>AND(ISNUMBER($J$7),$J$7&gt;1)</formula>
    </cfRule>
    <cfRule type="expression" dxfId="22" priority="5">
      <formula>NOT(AND(ISNUMBER($J$7),$J$7&gt;1))</formula>
    </cfRule>
  </conditionalFormatting>
  <conditionalFormatting sqref="N7:P7">
    <cfRule type="expression" dxfId="21" priority="7">
      <formula>NOT(ISNUMBER($N$7))</formula>
    </cfRule>
  </conditionalFormatting>
  <dataValidations count="1">
    <dataValidation type="list" errorTitle="Escenario no válido" error="Elige Pesimista, Base u Optimista" sqref="N3" xr:uid="{00000000-0002-0000-0000-000000000000}">
      <formula1>"Pesimista,Base,Optimista"</formula1>
    </dataValidation>
  </dataValidations>
  <pageMargins left="0.75" right="0.75" top="1" bottom="1" header="0.5" footer="0.5"/>
  <pageSetup fitToHeight="0" orientation="landscape"/>
  <rowBreaks count="1" manualBreakCount="1">
    <brk id="31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A541"/>
    <pageSetUpPr fitToPage="1"/>
  </sheetPr>
  <dimension ref="A1:H5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48" customWidth="1"/>
    <col min="2" max="7" width="17" customWidth="1"/>
    <col min="8" max="8" width="52" customWidth="1"/>
  </cols>
  <sheetData>
    <row r="1" spans="1:8" ht="30" customHeight="1" x14ac:dyDescent="0.3">
      <c r="A1" s="5" t="s">
        <v>18</v>
      </c>
      <c r="B1" s="2"/>
      <c r="C1" s="2"/>
      <c r="D1" s="2"/>
      <c r="E1" s="2"/>
      <c r="F1" s="2"/>
      <c r="G1" s="2"/>
      <c r="H1" s="2"/>
    </row>
    <row r="2" spans="1:8" x14ac:dyDescent="0.3">
      <c r="A2" s="6" t="s">
        <v>19</v>
      </c>
    </row>
    <row r="4" spans="1:8" x14ac:dyDescent="0.3">
      <c r="A4" s="7" t="s">
        <v>20</v>
      </c>
      <c r="B4" s="7"/>
      <c r="C4" s="7"/>
      <c r="D4" s="7"/>
      <c r="E4" s="7"/>
      <c r="F4" s="7"/>
      <c r="G4" s="7"/>
      <c r="H4" s="7"/>
    </row>
    <row r="5" spans="1:8" x14ac:dyDescent="0.3">
      <c r="A5" s="8" t="s">
        <v>21</v>
      </c>
      <c r="B5" s="9">
        <v>36.624299999999998</v>
      </c>
      <c r="H5" s="6" t="s">
        <v>22</v>
      </c>
    </row>
    <row r="6" spans="1:8" x14ac:dyDescent="0.3">
      <c r="A6" s="8" t="s">
        <v>23</v>
      </c>
      <c r="B6" s="10">
        <v>0.15</v>
      </c>
      <c r="H6" s="6" t="s">
        <v>24</v>
      </c>
    </row>
    <row r="7" spans="1:8" x14ac:dyDescent="0.3">
      <c r="A7" s="8" t="s">
        <v>25</v>
      </c>
      <c r="B7" s="10">
        <v>0.3</v>
      </c>
      <c r="H7" s="6" t="s">
        <v>26</v>
      </c>
    </row>
    <row r="8" spans="1:8" x14ac:dyDescent="0.3">
      <c r="A8" s="8" t="s">
        <v>27</v>
      </c>
      <c r="B8" s="10">
        <v>0.01</v>
      </c>
      <c r="H8" s="6" t="s">
        <v>26</v>
      </c>
    </row>
    <row r="9" spans="1:8" x14ac:dyDescent="0.3">
      <c r="A9" s="8" t="s">
        <v>28</v>
      </c>
      <c r="B9" s="10">
        <v>0.3</v>
      </c>
      <c r="H9" s="6" t="s">
        <v>29</v>
      </c>
    </row>
    <row r="10" spans="1:8" x14ac:dyDescent="0.3">
      <c r="A10" s="8" t="s">
        <v>30</v>
      </c>
      <c r="B10" s="10">
        <v>0.2</v>
      </c>
      <c r="H10" s="6" t="s">
        <v>31</v>
      </c>
    </row>
    <row r="11" spans="1:8" x14ac:dyDescent="0.3">
      <c r="A11" s="8" t="s">
        <v>32</v>
      </c>
      <c r="B11" s="11">
        <v>5</v>
      </c>
      <c r="H11" s="6" t="s">
        <v>33</v>
      </c>
    </row>
    <row r="12" spans="1:8" x14ac:dyDescent="0.3">
      <c r="A12" s="8" t="s">
        <v>34</v>
      </c>
      <c r="B12" s="10">
        <v>0.1</v>
      </c>
      <c r="H12" s="6" t="s">
        <v>35</v>
      </c>
    </row>
    <row r="13" spans="1:8" x14ac:dyDescent="0.3">
      <c r="A13" s="8" t="s">
        <v>36</v>
      </c>
      <c r="B13" s="10">
        <v>0.25</v>
      </c>
      <c r="H13" s="6" t="s">
        <v>37</v>
      </c>
    </row>
    <row r="14" spans="1:8" x14ac:dyDescent="0.3">
      <c r="A14" s="8" t="s">
        <v>38</v>
      </c>
      <c r="B14" s="12" t="str">
        <f>Dashboard!N3</f>
        <v>Base</v>
      </c>
    </row>
    <row r="16" spans="1:8" x14ac:dyDescent="0.3">
      <c r="A16" s="7" t="s">
        <v>39</v>
      </c>
      <c r="B16" s="7"/>
      <c r="C16" s="7"/>
      <c r="D16" s="7"/>
      <c r="E16" s="7"/>
      <c r="F16" s="7"/>
      <c r="G16" s="7"/>
      <c r="H16" s="7"/>
    </row>
    <row r="17" spans="1:8" ht="42" customHeight="1" x14ac:dyDescent="0.3">
      <c r="A17" s="13" t="s">
        <v>40</v>
      </c>
      <c r="B17" s="14" t="s">
        <v>41</v>
      </c>
      <c r="C17" s="14" t="s">
        <v>42</v>
      </c>
      <c r="D17" s="14" t="s">
        <v>43</v>
      </c>
      <c r="E17" s="14" t="s">
        <v>44</v>
      </c>
      <c r="F17" s="14" t="s">
        <v>45</v>
      </c>
      <c r="G17" s="14" t="s">
        <v>46</v>
      </c>
      <c r="H17" s="14" t="s">
        <v>47</v>
      </c>
    </row>
    <row r="18" spans="1:8" x14ac:dyDescent="0.3">
      <c r="A18" s="15" t="s">
        <v>48</v>
      </c>
      <c r="B18" s="16">
        <v>2500</v>
      </c>
      <c r="C18" s="16">
        <v>5000</v>
      </c>
      <c r="D18" s="10">
        <v>0.1</v>
      </c>
      <c r="E18" s="10">
        <v>0.12</v>
      </c>
      <c r="F18" s="16">
        <v>250</v>
      </c>
      <c r="G18" s="17">
        <f>B18/$B$5</f>
        <v>68.260690306708938</v>
      </c>
      <c r="H18" s="18">
        <f>IFERROR(B18/F18,0)</f>
        <v>10</v>
      </c>
    </row>
    <row r="19" spans="1:8" x14ac:dyDescent="0.3">
      <c r="A19" s="15" t="s">
        <v>49</v>
      </c>
      <c r="B19" s="16">
        <v>5000</v>
      </c>
      <c r="C19" s="16">
        <v>10000</v>
      </c>
      <c r="D19" s="10">
        <v>0.15</v>
      </c>
      <c r="E19" s="10">
        <v>0.08</v>
      </c>
      <c r="F19" s="16">
        <v>700</v>
      </c>
      <c r="G19" s="17">
        <f>B19/$B$5</f>
        <v>136.52138061341788</v>
      </c>
      <c r="H19" s="18">
        <f>IFERROR(B19/F19,0)</f>
        <v>7.1428571428571432</v>
      </c>
    </row>
    <row r="20" spans="1:8" x14ac:dyDescent="0.3">
      <c r="A20" s="15" t="s">
        <v>50</v>
      </c>
      <c r="B20" s="16">
        <v>9000</v>
      </c>
      <c r="C20" s="16">
        <v>20000</v>
      </c>
      <c r="D20" s="10">
        <v>0.22</v>
      </c>
      <c r="E20" s="10">
        <v>0.05</v>
      </c>
      <c r="F20" s="16">
        <v>1500</v>
      </c>
      <c r="G20" s="17">
        <f>B20/$B$5</f>
        <v>245.73848510415218</v>
      </c>
      <c r="H20" s="18">
        <f>IFERROR(B20/F20,0)</f>
        <v>6</v>
      </c>
    </row>
    <row r="21" spans="1:8" x14ac:dyDescent="0.3">
      <c r="A21" s="6" t="s">
        <v>51</v>
      </c>
    </row>
    <row r="23" spans="1:8" x14ac:dyDescent="0.3">
      <c r="A23" s="7" t="s">
        <v>52</v>
      </c>
      <c r="B23" s="7"/>
      <c r="C23" s="7"/>
      <c r="D23" s="7"/>
      <c r="E23" s="7"/>
      <c r="F23" s="7"/>
      <c r="G23" s="7"/>
      <c r="H23" s="7"/>
    </row>
    <row r="24" spans="1:8" x14ac:dyDescent="0.3">
      <c r="A24" s="13" t="s">
        <v>40</v>
      </c>
      <c r="B24" s="14" t="s">
        <v>53</v>
      </c>
      <c r="C24" s="14" t="s">
        <v>54</v>
      </c>
      <c r="D24" s="14" t="s">
        <v>55</v>
      </c>
      <c r="E24" s="14" t="s">
        <v>56</v>
      </c>
      <c r="F24" s="14" t="s">
        <v>57</v>
      </c>
    </row>
    <row r="25" spans="1:8" x14ac:dyDescent="0.3">
      <c r="A25" s="15" t="s">
        <v>48</v>
      </c>
      <c r="B25" s="19">
        <v>1</v>
      </c>
      <c r="C25" s="19">
        <v>2</v>
      </c>
      <c r="D25" s="19">
        <v>4</v>
      </c>
      <c r="E25" s="19">
        <v>7</v>
      </c>
      <c r="F25" s="19">
        <v>11</v>
      </c>
      <c r="H25" s="6" t="s">
        <v>58</v>
      </c>
    </row>
    <row r="26" spans="1:8" x14ac:dyDescent="0.3">
      <c r="A26" s="15" t="s">
        <v>49</v>
      </c>
      <c r="B26" s="19">
        <v>1</v>
      </c>
      <c r="C26" s="19">
        <v>2</v>
      </c>
      <c r="D26" s="19">
        <v>4</v>
      </c>
      <c r="E26" s="19">
        <v>7</v>
      </c>
      <c r="F26" s="19">
        <v>13</v>
      </c>
    </row>
    <row r="27" spans="1:8" x14ac:dyDescent="0.3">
      <c r="A27" s="15" t="s">
        <v>50</v>
      </c>
      <c r="B27" s="19">
        <v>0</v>
      </c>
      <c r="C27" s="19">
        <v>1</v>
      </c>
      <c r="D27" s="19">
        <v>2</v>
      </c>
      <c r="E27" s="19">
        <v>4</v>
      </c>
      <c r="F27" s="19">
        <v>6</v>
      </c>
    </row>
    <row r="28" spans="1:8" x14ac:dyDescent="0.3">
      <c r="A28" s="20" t="s">
        <v>59</v>
      </c>
      <c r="B28" s="21">
        <f>SUM(B25:B27)</f>
        <v>2</v>
      </c>
      <c r="C28" s="21">
        <f>SUM(C25:C27)</f>
        <v>5</v>
      </c>
      <c r="D28" s="21">
        <f>SUM(D25:D27)</f>
        <v>10</v>
      </c>
      <c r="E28" s="21">
        <f>SUM(E25:E27)</f>
        <v>18</v>
      </c>
      <c r="F28" s="21">
        <f>SUM(F25:F27)</f>
        <v>30</v>
      </c>
    </row>
    <row r="30" spans="1:8" x14ac:dyDescent="0.3">
      <c r="A30" s="7" t="s">
        <v>60</v>
      </c>
      <c r="B30" s="7"/>
      <c r="C30" s="7"/>
      <c r="D30" s="7"/>
      <c r="E30" s="7"/>
      <c r="F30" s="7"/>
      <c r="G30" s="7"/>
      <c r="H30" s="7"/>
    </row>
    <row r="31" spans="1:8" x14ac:dyDescent="0.3">
      <c r="A31" s="13" t="s">
        <v>61</v>
      </c>
      <c r="B31" s="14" t="s">
        <v>53</v>
      </c>
      <c r="C31" s="14" t="s">
        <v>54</v>
      </c>
      <c r="D31" s="14" t="s">
        <v>55</v>
      </c>
      <c r="E31" s="14" t="s">
        <v>56</v>
      </c>
      <c r="F31" s="14" t="s">
        <v>57</v>
      </c>
      <c r="G31" s="14" t="s">
        <v>62</v>
      </c>
    </row>
    <row r="32" spans="1:8" x14ac:dyDescent="0.3">
      <c r="A32" s="15" t="s">
        <v>63</v>
      </c>
      <c r="B32" s="16">
        <v>150000</v>
      </c>
      <c r="C32" s="16">
        <v>210000</v>
      </c>
      <c r="D32" s="16">
        <v>300000</v>
      </c>
      <c r="E32" s="16">
        <v>400000</v>
      </c>
      <c r="F32" s="16">
        <v>550000</v>
      </c>
      <c r="H32" s="6" t="s">
        <v>64</v>
      </c>
    </row>
    <row r="33" spans="1:8" x14ac:dyDescent="0.3">
      <c r="A33" s="22" t="s">
        <v>65</v>
      </c>
    </row>
    <row r="34" spans="1:8" x14ac:dyDescent="0.3">
      <c r="A34" s="8" t="s">
        <v>66</v>
      </c>
      <c r="B34" s="23">
        <f t="shared" ref="B34:F38" si="0">B$32*$G34</f>
        <v>60000</v>
      </c>
      <c r="C34" s="23">
        <f t="shared" si="0"/>
        <v>84000</v>
      </c>
      <c r="D34" s="23">
        <f t="shared" si="0"/>
        <v>120000</v>
      </c>
      <c r="E34" s="23">
        <f t="shared" si="0"/>
        <v>160000</v>
      </c>
      <c r="F34" s="23">
        <f t="shared" si="0"/>
        <v>220000</v>
      </c>
      <c r="G34" s="24">
        <v>0.4</v>
      </c>
    </row>
    <row r="35" spans="1:8" x14ac:dyDescent="0.3">
      <c r="A35" s="8" t="s">
        <v>67</v>
      </c>
      <c r="B35" s="23">
        <f t="shared" si="0"/>
        <v>22500</v>
      </c>
      <c r="C35" s="23">
        <f t="shared" si="0"/>
        <v>31500</v>
      </c>
      <c r="D35" s="23">
        <f t="shared" si="0"/>
        <v>45000</v>
      </c>
      <c r="E35" s="23">
        <f t="shared" si="0"/>
        <v>60000</v>
      </c>
      <c r="F35" s="23">
        <f t="shared" si="0"/>
        <v>82500</v>
      </c>
      <c r="G35" s="24">
        <v>0.15</v>
      </c>
    </row>
    <row r="36" spans="1:8" x14ac:dyDescent="0.3">
      <c r="A36" s="8" t="s">
        <v>68</v>
      </c>
      <c r="B36" s="23">
        <f t="shared" si="0"/>
        <v>37500</v>
      </c>
      <c r="C36" s="23">
        <f t="shared" si="0"/>
        <v>52500</v>
      </c>
      <c r="D36" s="23">
        <f t="shared" si="0"/>
        <v>75000</v>
      </c>
      <c r="E36" s="23">
        <f t="shared" si="0"/>
        <v>100000</v>
      </c>
      <c r="F36" s="23">
        <f t="shared" si="0"/>
        <v>137500</v>
      </c>
      <c r="G36" s="24">
        <v>0.25</v>
      </c>
    </row>
    <row r="37" spans="1:8" x14ac:dyDescent="0.3">
      <c r="A37" s="8" t="s">
        <v>69</v>
      </c>
      <c r="B37" s="23">
        <f t="shared" si="0"/>
        <v>15000</v>
      </c>
      <c r="C37" s="23">
        <f t="shared" si="0"/>
        <v>21000</v>
      </c>
      <c r="D37" s="23">
        <f t="shared" si="0"/>
        <v>30000</v>
      </c>
      <c r="E37" s="23">
        <f t="shared" si="0"/>
        <v>40000</v>
      </c>
      <c r="F37" s="23">
        <f t="shared" si="0"/>
        <v>55000</v>
      </c>
      <c r="G37" s="24">
        <v>0.1</v>
      </c>
    </row>
    <row r="38" spans="1:8" x14ac:dyDescent="0.3">
      <c r="A38" s="8" t="s">
        <v>70</v>
      </c>
      <c r="B38" s="23">
        <f t="shared" si="0"/>
        <v>15000</v>
      </c>
      <c r="C38" s="23">
        <f t="shared" si="0"/>
        <v>21000</v>
      </c>
      <c r="D38" s="23">
        <f t="shared" si="0"/>
        <v>30000</v>
      </c>
      <c r="E38" s="23">
        <f t="shared" si="0"/>
        <v>40000</v>
      </c>
      <c r="F38" s="23">
        <f t="shared" si="0"/>
        <v>55000</v>
      </c>
      <c r="G38" s="24">
        <v>0.1</v>
      </c>
    </row>
    <row r="39" spans="1:8" x14ac:dyDescent="0.3">
      <c r="A39" s="6" t="s">
        <v>71</v>
      </c>
      <c r="G39" s="25">
        <f>SUM(G34:G38)</f>
        <v>1</v>
      </c>
      <c r="H39" s="26" t="str">
        <f>IF(ROUND(G39,4)=1,"OK","Revisar: no suma 100%")</f>
        <v>OK</v>
      </c>
    </row>
    <row r="41" spans="1:8" x14ac:dyDescent="0.3">
      <c r="A41" s="7" t="s">
        <v>72</v>
      </c>
      <c r="B41" s="7"/>
      <c r="C41" s="7"/>
      <c r="D41" s="7"/>
      <c r="E41" s="7"/>
      <c r="F41" s="7"/>
      <c r="G41" s="7"/>
      <c r="H41" s="7"/>
    </row>
    <row r="42" spans="1:8" x14ac:dyDescent="0.3">
      <c r="A42" s="13" t="s">
        <v>61</v>
      </c>
      <c r="B42" s="14" t="s">
        <v>73</v>
      </c>
      <c r="C42" s="14" t="s">
        <v>74</v>
      </c>
    </row>
    <row r="43" spans="1:8" x14ac:dyDescent="0.3">
      <c r="A43" s="8" t="s">
        <v>75</v>
      </c>
      <c r="B43" s="16">
        <v>85000</v>
      </c>
      <c r="C43" s="27" t="s">
        <v>76</v>
      </c>
    </row>
    <row r="44" spans="1:8" x14ac:dyDescent="0.3">
      <c r="A44" s="8" t="s">
        <v>77</v>
      </c>
      <c r="B44" s="16">
        <v>20000</v>
      </c>
      <c r="C44" s="27" t="s">
        <v>76</v>
      </c>
    </row>
    <row r="45" spans="1:8" x14ac:dyDescent="0.3">
      <c r="A45" s="8" t="s">
        <v>78</v>
      </c>
      <c r="B45" s="16">
        <v>15000</v>
      </c>
      <c r="C45" s="27" t="s">
        <v>76</v>
      </c>
    </row>
    <row r="46" spans="1:8" x14ac:dyDescent="0.3">
      <c r="A46" s="8" t="s">
        <v>79</v>
      </c>
      <c r="B46" s="16">
        <v>60000</v>
      </c>
      <c r="C46" s="27" t="s">
        <v>80</v>
      </c>
    </row>
    <row r="47" spans="1:8" x14ac:dyDescent="0.3">
      <c r="A47" s="8" t="s">
        <v>81</v>
      </c>
      <c r="B47" s="16">
        <v>15000</v>
      </c>
      <c r="C47" s="27" t="s">
        <v>80</v>
      </c>
    </row>
    <row r="48" spans="1:8" x14ac:dyDescent="0.3">
      <c r="A48" s="8" t="s">
        <v>82</v>
      </c>
      <c r="B48" s="16">
        <v>10000</v>
      </c>
      <c r="C48" s="27" t="s">
        <v>80</v>
      </c>
    </row>
    <row r="49" spans="1:8" x14ac:dyDescent="0.3">
      <c r="A49" s="8" t="s">
        <v>83</v>
      </c>
      <c r="B49" s="16">
        <v>15000</v>
      </c>
      <c r="C49" s="27" t="s">
        <v>80</v>
      </c>
    </row>
    <row r="50" spans="1:8" x14ac:dyDescent="0.3">
      <c r="A50" s="20" t="s">
        <v>84</v>
      </c>
      <c r="B50" s="28">
        <f>SUM(B43:B49)</f>
        <v>220000</v>
      </c>
      <c r="C50" s="29">
        <f>B50/B5</f>
        <v>6006.9407469903863</v>
      </c>
    </row>
    <row r="52" spans="1:8" x14ac:dyDescent="0.3">
      <c r="A52" s="7" t="s">
        <v>85</v>
      </c>
      <c r="B52" s="7"/>
      <c r="C52" s="7"/>
      <c r="D52" s="7"/>
      <c r="E52" s="7"/>
      <c r="F52" s="7"/>
      <c r="G52" s="7"/>
      <c r="H52" s="7"/>
    </row>
    <row r="53" spans="1:8" ht="30" customHeight="1" x14ac:dyDescent="0.3">
      <c r="A53" s="13" t="s">
        <v>86</v>
      </c>
      <c r="B53" s="14" t="s">
        <v>87</v>
      </c>
      <c r="C53" s="14" t="s">
        <v>88</v>
      </c>
      <c r="D53" s="14" t="s">
        <v>89</v>
      </c>
      <c r="E53" s="14" t="s">
        <v>90</v>
      </c>
    </row>
    <row r="54" spans="1:8" x14ac:dyDescent="0.3">
      <c r="A54" s="15" t="s">
        <v>91</v>
      </c>
      <c r="B54" s="24">
        <v>0.6</v>
      </c>
      <c r="C54" s="24">
        <v>0.9</v>
      </c>
      <c r="D54" s="24">
        <v>1.2</v>
      </c>
      <c r="E54" s="24">
        <v>1</v>
      </c>
      <c r="H54" s="6" t="s">
        <v>92</v>
      </c>
    </row>
    <row r="55" spans="1:8" x14ac:dyDescent="0.3">
      <c r="A55" s="15" t="s">
        <v>2</v>
      </c>
      <c r="B55" s="24">
        <v>1</v>
      </c>
      <c r="C55" s="24">
        <v>1</v>
      </c>
      <c r="D55" s="24">
        <v>1</v>
      </c>
      <c r="E55" s="24">
        <v>1</v>
      </c>
    </row>
    <row r="56" spans="1:8" x14ac:dyDescent="0.3">
      <c r="A56" s="15" t="s">
        <v>93</v>
      </c>
      <c r="B56" s="24">
        <v>1.3</v>
      </c>
      <c r="C56" s="24">
        <v>1.05</v>
      </c>
      <c r="D56" s="24">
        <v>0.95</v>
      </c>
      <c r="E56" s="24">
        <v>1</v>
      </c>
      <c r="H56" s="6" t="s">
        <v>94</v>
      </c>
    </row>
    <row r="57" spans="1:8" x14ac:dyDescent="0.3">
      <c r="A57" s="30" t="s">
        <v>95</v>
      </c>
      <c r="B57" s="31">
        <f>INDEX(B54:B56,MATCH($B$14,$A$54:$A$56,0))</f>
        <v>1</v>
      </c>
      <c r="C57" s="31">
        <f>INDEX(C54:C56,MATCH($B$14,$A$54:$A$56,0))</f>
        <v>1</v>
      </c>
      <c r="D57" s="31">
        <f>INDEX(D54:D56,MATCH($B$14,$A$54:$A$56,0))</f>
        <v>1</v>
      </c>
      <c r="E57" s="31">
        <f>INDEX(E54:E56,MATCH($B$14,$A$54:$A$56,0))</f>
        <v>1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8A8A"/>
    <pageSetUpPr fitToPage="1"/>
  </sheetPr>
  <dimension ref="A1:D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2" customWidth="1"/>
    <col min="2" max="3" width="36" customWidth="1"/>
    <col min="4" max="4" width="40" customWidth="1"/>
  </cols>
  <sheetData>
    <row r="1" spans="1:4" ht="30" customHeight="1" x14ac:dyDescent="0.3">
      <c r="A1" s="5" t="s">
        <v>96</v>
      </c>
      <c r="B1" s="2"/>
      <c r="C1" s="2"/>
      <c r="D1" s="2"/>
    </row>
    <row r="2" spans="1:4" x14ac:dyDescent="0.3">
      <c r="A2" s="6" t="s">
        <v>97</v>
      </c>
    </row>
    <row r="4" spans="1:4" x14ac:dyDescent="0.3">
      <c r="A4" s="13" t="s">
        <v>98</v>
      </c>
      <c r="B4" s="14" t="s">
        <v>48</v>
      </c>
      <c r="C4" s="14" t="s">
        <v>49</v>
      </c>
      <c r="D4" s="14" t="s">
        <v>50</v>
      </c>
    </row>
    <row r="5" spans="1:4" ht="19.95" customHeight="1" x14ac:dyDescent="0.3">
      <c r="A5" s="32" t="s">
        <v>99</v>
      </c>
      <c r="B5" s="33">
        <f>Supuestos!B18</f>
        <v>2500</v>
      </c>
      <c r="C5" s="33">
        <f>Supuestos!B19</f>
        <v>5000</v>
      </c>
      <c r="D5" s="33">
        <f>Supuestos!B20</f>
        <v>9000</v>
      </c>
    </row>
    <row r="6" spans="1:4" ht="19.95" customHeight="1" x14ac:dyDescent="0.3">
      <c r="A6" s="32" t="s">
        <v>46</v>
      </c>
      <c r="B6" s="34">
        <f>Supuestos!G18</f>
        <v>68.260690306708938</v>
      </c>
      <c r="C6" s="34">
        <f>Supuestos!G19</f>
        <v>136.52138061341788</v>
      </c>
      <c r="D6" s="34">
        <f>Supuestos!G20</f>
        <v>245.73848510415218</v>
      </c>
    </row>
    <row r="7" spans="1:4" ht="19.95" customHeight="1" x14ac:dyDescent="0.3">
      <c r="A7" s="32" t="s">
        <v>100</v>
      </c>
      <c r="B7" s="33">
        <f>Supuestos!C18</f>
        <v>5000</v>
      </c>
      <c r="C7" s="33">
        <f>Supuestos!C19</f>
        <v>10000</v>
      </c>
      <c r="D7" s="33">
        <f>Supuestos!C20</f>
        <v>20000</v>
      </c>
    </row>
    <row r="8" spans="1:4" ht="19.95" customHeight="1" x14ac:dyDescent="0.3">
      <c r="A8" s="32" t="s">
        <v>101</v>
      </c>
      <c r="B8" s="35" t="s">
        <v>102</v>
      </c>
      <c r="C8" s="35" t="s">
        <v>103</v>
      </c>
      <c r="D8" s="35" t="s">
        <v>104</v>
      </c>
    </row>
    <row r="9" spans="1:4" ht="19.95" customHeight="1" x14ac:dyDescent="0.3">
      <c r="A9" s="32" t="s">
        <v>105</v>
      </c>
      <c r="B9" s="35" t="s">
        <v>106</v>
      </c>
      <c r="C9" s="35" t="s">
        <v>107</v>
      </c>
      <c r="D9" s="35" t="s">
        <v>104</v>
      </c>
    </row>
    <row r="10" spans="1:4" ht="31.95" customHeight="1" x14ac:dyDescent="0.3">
      <c r="A10" s="32" t="s">
        <v>108</v>
      </c>
      <c r="B10" s="35" t="s">
        <v>109</v>
      </c>
      <c r="C10" s="35" t="s">
        <v>109</v>
      </c>
      <c r="D10" s="35" t="s">
        <v>109</v>
      </c>
    </row>
    <row r="11" spans="1:4" ht="31.95" customHeight="1" x14ac:dyDescent="0.3">
      <c r="A11" s="32" t="s">
        <v>110</v>
      </c>
      <c r="B11" s="35" t="s">
        <v>111</v>
      </c>
      <c r="C11" s="35" t="s">
        <v>112</v>
      </c>
      <c r="D11" s="35" t="s">
        <v>113</v>
      </c>
    </row>
    <row r="12" spans="1:4" ht="31.95" customHeight="1" x14ac:dyDescent="0.3">
      <c r="A12" s="32" t="s">
        <v>114</v>
      </c>
      <c r="B12" s="35" t="s">
        <v>115</v>
      </c>
      <c r="C12" s="35" t="s">
        <v>116</v>
      </c>
      <c r="D12" s="35" t="s">
        <v>117</v>
      </c>
    </row>
    <row r="13" spans="1:4" ht="31.95" customHeight="1" x14ac:dyDescent="0.3">
      <c r="A13" s="32" t="s">
        <v>118</v>
      </c>
      <c r="B13" s="35" t="s">
        <v>119</v>
      </c>
      <c r="C13" s="35" t="s">
        <v>120</v>
      </c>
      <c r="D13" s="35" t="s">
        <v>104</v>
      </c>
    </row>
    <row r="14" spans="1:4" ht="31.95" customHeight="1" x14ac:dyDescent="0.3">
      <c r="A14" s="32" t="s">
        <v>121</v>
      </c>
      <c r="B14" s="35" t="s">
        <v>122</v>
      </c>
      <c r="C14" s="35" t="s">
        <v>109</v>
      </c>
      <c r="D14" s="35" t="s">
        <v>123</v>
      </c>
    </row>
    <row r="15" spans="1:4" ht="31.95" customHeight="1" x14ac:dyDescent="0.3">
      <c r="A15" s="32" t="s">
        <v>124</v>
      </c>
      <c r="B15" s="35" t="s">
        <v>125</v>
      </c>
      <c r="C15" s="35" t="s">
        <v>126</v>
      </c>
      <c r="D15" s="35" t="s">
        <v>127</v>
      </c>
    </row>
    <row r="16" spans="1:4" ht="31.95" customHeight="1" x14ac:dyDescent="0.3">
      <c r="A16" s="32" t="s">
        <v>128</v>
      </c>
      <c r="B16" s="35" t="s">
        <v>129</v>
      </c>
      <c r="C16" s="35" t="s">
        <v>130</v>
      </c>
      <c r="D16" s="35" t="s">
        <v>131</v>
      </c>
    </row>
    <row r="17" spans="1:4" ht="31.95" customHeight="1" x14ac:dyDescent="0.3">
      <c r="A17" s="32" t="s">
        <v>132</v>
      </c>
      <c r="B17" s="35" t="s">
        <v>133</v>
      </c>
      <c r="C17" s="35" t="s">
        <v>134</v>
      </c>
      <c r="D17" s="35" t="s">
        <v>135</v>
      </c>
    </row>
    <row r="18" spans="1:4" ht="31.95" customHeight="1" x14ac:dyDescent="0.3">
      <c r="A18" s="32" t="s">
        <v>136</v>
      </c>
      <c r="B18" s="35" t="s">
        <v>137</v>
      </c>
      <c r="C18" s="35" t="s">
        <v>138</v>
      </c>
      <c r="D18" s="35" t="s">
        <v>139</v>
      </c>
    </row>
    <row r="19" spans="1:4" ht="31.95" customHeight="1" x14ac:dyDescent="0.3">
      <c r="A19" s="32" t="s">
        <v>140</v>
      </c>
      <c r="B19" s="36">
        <f>1-Supuestos!D18</f>
        <v>0.9</v>
      </c>
      <c r="C19" s="36">
        <f>1-Supuestos!D19</f>
        <v>0.85</v>
      </c>
      <c r="D19" s="36">
        <f>1-Supuestos!D20</f>
        <v>0.78</v>
      </c>
    </row>
    <row r="21" spans="1:4" x14ac:dyDescent="0.3">
      <c r="A21" s="6" t="s">
        <v>141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8A8A"/>
    <pageSetUpPr fitToPage="1"/>
  </sheetPr>
  <dimension ref="A1:H6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2" customWidth="1"/>
    <col min="2" max="8" width="14.44140625" customWidth="1"/>
  </cols>
  <sheetData>
    <row r="1" spans="1:8" ht="16.8" x14ac:dyDescent="0.3">
      <c r="A1" s="37" t="s">
        <v>142</v>
      </c>
      <c r="G1" s="38" t="s">
        <v>143</v>
      </c>
      <c r="H1" s="39" t="str">
        <f>Supuestos!B14</f>
        <v>Base</v>
      </c>
    </row>
    <row r="2" spans="1:8" x14ac:dyDescent="0.3">
      <c r="A2" s="13" t="s">
        <v>144</v>
      </c>
      <c r="B2" s="14" t="s">
        <v>145</v>
      </c>
      <c r="C2" s="14" t="s">
        <v>53</v>
      </c>
      <c r="D2" s="14" t="s">
        <v>54</v>
      </c>
      <c r="E2" s="14" t="s">
        <v>55</v>
      </c>
      <c r="F2" s="14" t="s">
        <v>56</v>
      </c>
      <c r="G2" s="14" t="s">
        <v>57</v>
      </c>
      <c r="H2" s="14" t="s">
        <v>146</v>
      </c>
    </row>
    <row r="3" spans="1:8" x14ac:dyDescent="0.3">
      <c r="A3" s="6" t="s">
        <v>147</v>
      </c>
      <c r="B3" s="40">
        <v>0</v>
      </c>
      <c r="C3" s="40">
        <v>1</v>
      </c>
      <c r="D3" s="40">
        <v>2</v>
      </c>
      <c r="E3" s="40">
        <v>3</v>
      </c>
      <c r="F3" s="40">
        <v>4</v>
      </c>
      <c r="G3" s="40">
        <v>5</v>
      </c>
    </row>
    <row r="4" spans="1:8" x14ac:dyDescent="0.3">
      <c r="A4" s="41" t="s">
        <v>148</v>
      </c>
      <c r="B4" s="41"/>
      <c r="C4" s="41"/>
      <c r="D4" s="41"/>
      <c r="E4" s="41"/>
      <c r="F4" s="41"/>
      <c r="G4" s="41"/>
      <c r="H4" s="41"/>
    </row>
    <row r="5" spans="1:8" x14ac:dyDescent="0.3">
      <c r="A5" s="8" t="s">
        <v>149</v>
      </c>
      <c r="B5" s="42">
        <v>0</v>
      </c>
      <c r="C5" s="43">
        <f>Supuestos!B25*Supuestos!$B$57</f>
        <v>1</v>
      </c>
      <c r="D5" s="43">
        <f>Supuestos!C25*Supuestos!$B$57</f>
        <v>2</v>
      </c>
      <c r="E5" s="43">
        <f>Supuestos!D25*Supuestos!$B$57</f>
        <v>4</v>
      </c>
      <c r="F5" s="43">
        <f>Supuestos!E25*Supuestos!$B$57</f>
        <v>7</v>
      </c>
      <c r="G5" s="43">
        <f>Supuestos!F25*Supuestos!$B$57</f>
        <v>11</v>
      </c>
      <c r="H5" s="42"/>
    </row>
    <row r="6" spans="1:8" x14ac:dyDescent="0.3">
      <c r="A6" s="8" t="s">
        <v>150</v>
      </c>
      <c r="B6" s="42">
        <v>0</v>
      </c>
      <c r="C6" s="43">
        <f>Supuestos!B26*Supuestos!$B$57</f>
        <v>1</v>
      </c>
      <c r="D6" s="43">
        <f>Supuestos!C26*Supuestos!$B$57</f>
        <v>2</v>
      </c>
      <c r="E6" s="43">
        <f>Supuestos!D26*Supuestos!$B$57</f>
        <v>4</v>
      </c>
      <c r="F6" s="43">
        <f>Supuestos!E26*Supuestos!$B$57</f>
        <v>7</v>
      </c>
      <c r="G6" s="43">
        <f>Supuestos!F26*Supuestos!$B$57</f>
        <v>13</v>
      </c>
      <c r="H6" s="42"/>
    </row>
    <row r="7" spans="1:8" x14ac:dyDescent="0.3">
      <c r="A7" s="8" t="s">
        <v>151</v>
      </c>
      <c r="B7" s="42">
        <v>0</v>
      </c>
      <c r="C7" s="43">
        <f>Supuestos!B27*Supuestos!$B$57</f>
        <v>0</v>
      </c>
      <c r="D7" s="43">
        <f>Supuestos!C27*Supuestos!$B$57</f>
        <v>1</v>
      </c>
      <c r="E7" s="43">
        <f>Supuestos!D27*Supuestos!$B$57</f>
        <v>2</v>
      </c>
      <c r="F7" s="43">
        <f>Supuestos!E27*Supuestos!$B$57</f>
        <v>4</v>
      </c>
      <c r="G7" s="43">
        <f>Supuestos!F27*Supuestos!$B$57</f>
        <v>6</v>
      </c>
      <c r="H7" s="42"/>
    </row>
    <row r="8" spans="1:8" x14ac:dyDescent="0.3">
      <c r="A8" s="20" t="s">
        <v>152</v>
      </c>
      <c r="B8" s="44"/>
      <c r="C8" s="44">
        <f>SUM(C5:C7)</f>
        <v>2</v>
      </c>
      <c r="D8" s="44">
        <f>SUM(D5:D7)</f>
        <v>5</v>
      </c>
      <c r="E8" s="44">
        <f>SUM(E5:E7)</f>
        <v>10</v>
      </c>
      <c r="F8" s="44">
        <f>SUM(F5:F7)</f>
        <v>18</v>
      </c>
      <c r="G8" s="44">
        <f>SUM(G5:G7)</f>
        <v>30</v>
      </c>
      <c r="H8" s="44"/>
    </row>
    <row r="9" spans="1:8" x14ac:dyDescent="0.3">
      <c r="A9" s="41" t="s">
        <v>153</v>
      </c>
      <c r="B9" s="41"/>
      <c r="C9" s="41"/>
      <c r="D9" s="41"/>
      <c r="E9" s="41"/>
      <c r="F9" s="41"/>
      <c r="G9" s="41"/>
      <c r="H9" s="41"/>
    </row>
    <row r="10" spans="1:8" x14ac:dyDescent="0.3">
      <c r="A10" s="8" t="s">
        <v>149</v>
      </c>
      <c r="B10" s="45"/>
      <c r="C10" s="45">
        <f t="shared" ref="C10:G12" si="0">(B5+C5)/2</f>
        <v>0.5</v>
      </c>
      <c r="D10" s="45">
        <f t="shared" si="0"/>
        <v>1.5</v>
      </c>
      <c r="E10" s="45">
        <f t="shared" si="0"/>
        <v>3</v>
      </c>
      <c r="F10" s="45">
        <f t="shared" si="0"/>
        <v>5.5</v>
      </c>
      <c r="G10" s="45">
        <f t="shared" si="0"/>
        <v>9</v>
      </c>
      <c r="H10" s="45"/>
    </row>
    <row r="11" spans="1:8" x14ac:dyDescent="0.3">
      <c r="A11" s="8" t="s">
        <v>150</v>
      </c>
      <c r="B11" s="45"/>
      <c r="C11" s="45">
        <f t="shared" si="0"/>
        <v>0.5</v>
      </c>
      <c r="D11" s="45">
        <f t="shared" si="0"/>
        <v>1.5</v>
      </c>
      <c r="E11" s="45">
        <f t="shared" si="0"/>
        <v>3</v>
      </c>
      <c r="F11" s="45">
        <f t="shared" si="0"/>
        <v>5.5</v>
      </c>
      <c r="G11" s="45">
        <f t="shared" si="0"/>
        <v>10</v>
      </c>
      <c r="H11" s="45"/>
    </row>
    <row r="12" spans="1:8" x14ac:dyDescent="0.3">
      <c r="A12" s="8" t="s">
        <v>151</v>
      </c>
      <c r="B12" s="45"/>
      <c r="C12" s="45">
        <f t="shared" si="0"/>
        <v>0</v>
      </c>
      <c r="D12" s="45">
        <f t="shared" si="0"/>
        <v>0.5</v>
      </c>
      <c r="E12" s="45">
        <f t="shared" si="0"/>
        <v>1.5</v>
      </c>
      <c r="F12" s="45">
        <f t="shared" si="0"/>
        <v>3</v>
      </c>
      <c r="G12" s="45">
        <f t="shared" si="0"/>
        <v>5</v>
      </c>
      <c r="H12" s="45"/>
    </row>
    <row r="13" spans="1:8" x14ac:dyDescent="0.3">
      <c r="A13" s="20" t="s">
        <v>154</v>
      </c>
      <c r="B13" s="44"/>
      <c r="C13" s="44">
        <f>SUM(C10:C12)</f>
        <v>1</v>
      </c>
      <c r="D13" s="44">
        <f>SUM(D10:D12)</f>
        <v>3.5</v>
      </c>
      <c r="E13" s="44">
        <f>SUM(E10:E12)</f>
        <v>7.5</v>
      </c>
      <c r="F13" s="44">
        <f>SUM(F10:F12)</f>
        <v>14</v>
      </c>
      <c r="G13" s="44">
        <f>SUM(G10:G12)</f>
        <v>24</v>
      </c>
      <c r="H13" s="44">
        <f>SUM(C13:G13)</f>
        <v>50</v>
      </c>
    </row>
    <row r="14" spans="1:8" x14ac:dyDescent="0.3">
      <c r="A14" s="41" t="s">
        <v>155</v>
      </c>
      <c r="B14" s="41"/>
      <c r="C14" s="41"/>
      <c r="D14" s="41"/>
      <c r="E14" s="41"/>
      <c r="F14" s="41"/>
      <c r="G14" s="41"/>
      <c r="H14" s="41"/>
    </row>
    <row r="15" spans="1:8" x14ac:dyDescent="0.3">
      <c r="A15" s="8" t="s">
        <v>156</v>
      </c>
      <c r="B15" s="45"/>
      <c r="C15" s="45">
        <f t="shared" ref="C15:G17" si="1">MAX(0,C5-B5)</f>
        <v>1</v>
      </c>
      <c r="D15" s="45">
        <f t="shared" si="1"/>
        <v>1</v>
      </c>
      <c r="E15" s="45">
        <f t="shared" si="1"/>
        <v>2</v>
      </c>
      <c r="F15" s="45">
        <f t="shared" si="1"/>
        <v>3</v>
      </c>
      <c r="G15" s="45">
        <f t="shared" si="1"/>
        <v>4</v>
      </c>
      <c r="H15" s="45"/>
    </row>
    <row r="16" spans="1:8" x14ac:dyDescent="0.3">
      <c r="A16" s="8" t="s">
        <v>157</v>
      </c>
      <c r="B16" s="45"/>
      <c r="C16" s="45">
        <f t="shared" si="1"/>
        <v>1</v>
      </c>
      <c r="D16" s="45">
        <f t="shared" si="1"/>
        <v>1</v>
      </c>
      <c r="E16" s="45">
        <f t="shared" si="1"/>
        <v>2</v>
      </c>
      <c r="F16" s="45">
        <f t="shared" si="1"/>
        <v>3</v>
      </c>
      <c r="G16" s="45">
        <f t="shared" si="1"/>
        <v>6</v>
      </c>
      <c r="H16" s="45"/>
    </row>
    <row r="17" spans="1:8" x14ac:dyDescent="0.3">
      <c r="A17" s="8" t="s">
        <v>158</v>
      </c>
      <c r="B17" s="45"/>
      <c r="C17" s="45">
        <f t="shared" si="1"/>
        <v>0</v>
      </c>
      <c r="D17" s="45">
        <f t="shared" si="1"/>
        <v>1</v>
      </c>
      <c r="E17" s="45">
        <f t="shared" si="1"/>
        <v>1</v>
      </c>
      <c r="F17" s="45">
        <f t="shared" si="1"/>
        <v>2</v>
      </c>
      <c r="G17" s="45">
        <f t="shared" si="1"/>
        <v>2</v>
      </c>
      <c r="H17" s="45"/>
    </row>
    <row r="18" spans="1:8" x14ac:dyDescent="0.3">
      <c r="A18" s="20" t="s">
        <v>159</v>
      </c>
      <c r="B18" s="44"/>
      <c r="C18" s="44">
        <f>SUM(C15:C17)</f>
        <v>2</v>
      </c>
      <c r="D18" s="44">
        <f>SUM(D15:D17)</f>
        <v>3</v>
      </c>
      <c r="E18" s="44">
        <f>SUM(E15:E17)</f>
        <v>5</v>
      </c>
      <c r="F18" s="44">
        <f>SUM(F15:F17)</f>
        <v>8</v>
      </c>
      <c r="G18" s="44">
        <f>SUM(G15:G17)</f>
        <v>12</v>
      </c>
      <c r="H18" s="44">
        <f>SUM(C18:G18)</f>
        <v>30</v>
      </c>
    </row>
    <row r="19" spans="1:8" x14ac:dyDescent="0.3">
      <c r="A19" s="8" t="s">
        <v>160</v>
      </c>
      <c r="B19" s="45"/>
      <c r="C19" s="45">
        <f>C18+B5*Supuestos!$E$18+B6*Supuestos!$E$19+B7*Supuestos!$E$20</f>
        <v>2</v>
      </c>
      <c r="D19" s="45">
        <f>D18+C5*Supuestos!$E$18+C6*Supuestos!$E$19+C7*Supuestos!$E$20</f>
        <v>3.2</v>
      </c>
      <c r="E19" s="45">
        <f>E18+D5*Supuestos!$E$18+D6*Supuestos!$E$19+D7*Supuestos!$E$20</f>
        <v>5.45</v>
      </c>
      <c r="F19" s="45">
        <f>F18+E5*Supuestos!$E$18+E6*Supuestos!$E$19+E7*Supuestos!$E$20</f>
        <v>8.9</v>
      </c>
      <c r="G19" s="45">
        <f>G18+F5*Supuestos!$E$18+F6*Supuestos!$E$19+F7*Supuestos!$E$20</f>
        <v>13.6</v>
      </c>
      <c r="H19" s="45">
        <f>SUM(C19:G19)</f>
        <v>33.15</v>
      </c>
    </row>
    <row r="20" spans="1:8" x14ac:dyDescent="0.3">
      <c r="A20" s="41" t="s">
        <v>161</v>
      </c>
      <c r="B20" s="41"/>
      <c r="C20" s="41"/>
      <c r="D20" s="41"/>
      <c r="E20" s="41"/>
      <c r="F20" s="41"/>
      <c r="G20" s="41"/>
      <c r="H20" s="41"/>
    </row>
    <row r="21" spans="1:8" x14ac:dyDescent="0.3">
      <c r="A21" s="8" t="s">
        <v>162</v>
      </c>
      <c r="B21" s="46"/>
      <c r="C21" s="46">
        <f>C10*Supuestos!$B$18*Supuestos!$C$57*12</f>
        <v>15000</v>
      </c>
      <c r="D21" s="46">
        <f>D10*Supuestos!$B$18*Supuestos!$C$57*12</f>
        <v>45000</v>
      </c>
      <c r="E21" s="46">
        <f>E10*Supuestos!$B$18*Supuestos!$C$57*12</f>
        <v>90000</v>
      </c>
      <c r="F21" s="46">
        <f>F10*Supuestos!$B$18*Supuestos!$C$57*12</f>
        <v>165000</v>
      </c>
      <c r="G21" s="46">
        <f>G10*Supuestos!$B$18*Supuestos!$C$57*12</f>
        <v>270000</v>
      </c>
      <c r="H21" s="46">
        <f t="shared" ref="H21:H26" si="2">SUM(C21:G21)</f>
        <v>585000</v>
      </c>
    </row>
    <row r="22" spans="1:8" x14ac:dyDescent="0.3">
      <c r="A22" s="8" t="s">
        <v>163</v>
      </c>
      <c r="B22" s="46"/>
      <c r="C22" s="46">
        <f>C11*Supuestos!$B$19*Supuestos!$C$57*12</f>
        <v>30000</v>
      </c>
      <c r="D22" s="46">
        <f>D11*Supuestos!$B$19*Supuestos!$C$57*12</f>
        <v>90000</v>
      </c>
      <c r="E22" s="46">
        <f>E11*Supuestos!$B$19*Supuestos!$C$57*12</f>
        <v>180000</v>
      </c>
      <c r="F22" s="46">
        <f>F11*Supuestos!$B$19*Supuestos!$C$57*12</f>
        <v>330000</v>
      </c>
      <c r="G22" s="46">
        <f>G11*Supuestos!$B$19*Supuestos!$C$57*12</f>
        <v>600000</v>
      </c>
      <c r="H22" s="46">
        <f t="shared" si="2"/>
        <v>1230000</v>
      </c>
    </row>
    <row r="23" spans="1:8" x14ac:dyDescent="0.3">
      <c r="A23" s="8" t="s">
        <v>164</v>
      </c>
      <c r="B23" s="46"/>
      <c r="C23" s="46">
        <f>C12*Supuestos!$B$20*Supuestos!$C$57*12</f>
        <v>0</v>
      </c>
      <c r="D23" s="46">
        <f>D12*Supuestos!$B$20*Supuestos!$C$57*12</f>
        <v>54000</v>
      </c>
      <c r="E23" s="46">
        <f>E12*Supuestos!$B$20*Supuestos!$C$57*12</f>
        <v>162000</v>
      </c>
      <c r="F23" s="46">
        <f>F12*Supuestos!$B$20*Supuestos!$C$57*12</f>
        <v>324000</v>
      </c>
      <c r="G23" s="46">
        <f>G12*Supuestos!$B$20*Supuestos!$C$57*12</f>
        <v>540000</v>
      </c>
      <c r="H23" s="46">
        <f t="shared" si="2"/>
        <v>1080000</v>
      </c>
    </row>
    <row r="24" spans="1:8" x14ac:dyDescent="0.3">
      <c r="A24" s="20" t="s">
        <v>165</v>
      </c>
      <c r="B24" s="47"/>
      <c r="C24" s="47">
        <f>SUM(C21:C23)</f>
        <v>45000</v>
      </c>
      <c r="D24" s="47">
        <f>SUM(D21:D23)</f>
        <v>189000</v>
      </c>
      <c r="E24" s="47">
        <f>SUM(E21:E23)</f>
        <v>432000</v>
      </c>
      <c r="F24" s="47">
        <f>SUM(F21:F23)</f>
        <v>819000</v>
      </c>
      <c r="G24" s="47">
        <f>SUM(G21:G23)</f>
        <v>1410000</v>
      </c>
      <c r="H24" s="47">
        <f t="shared" si="2"/>
        <v>2895000</v>
      </c>
    </row>
    <row r="25" spans="1:8" x14ac:dyDescent="0.3">
      <c r="A25" s="8" t="s">
        <v>166</v>
      </c>
      <c r="B25" s="46"/>
      <c r="C25" s="46">
        <f>(C15*Supuestos!$C$18+C16*Supuestos!$C$19+C17*Supuestos!$C$20)*Supuestos!$C$57</f>
        <v>15000</v>
      </c>
      <c r="D25" s="46">
        <f>(D15*Supuestos!$C$18+D16*Supuestos!$C$19+D17*Supuestos!$C$20)*Supuestos!$C$57</f>
        <v>35000</v>
      </c>
      <c r="E25" s="46">
        <f>(E15*Supuestos!$C$18+E16*Supuestos!$C$19+E17*Supuestos!$C$20)*Supuestos!$C$57</f>
        <v>50000</v>
      </c>
      <c r="F25" s="46">
        <f>(F15*Supuestos!$C$18+F16*Supuestos!$C$19+F17*Supuestos!$C$20)*Supuestos!$C$57</f>
        <v>85000</v>
      </c>
      <c r="G25" s="46">
        <f>(G15*Supuestos!$C$18+G16*Supuestos!$C$19+G17*Supuestos!$C$20)*Supuestos!$C$57</f>
        <v>120000</v>
      </c>
      <c r="H25" s="46">
        <f t="shared" si="2"/>
        <v>305000</v>
      </c>
    </row>
    <row r="26" spans="1:8" x14ac:dyDescent="0.3">
      <c r="A26" s="20" t="s">
        <v>167</v>
      </c>
      <c r="B26" s="47"/>
      <c r="C26" s="47">
        <f>C24+C25</f>
        <v>60000</v>
      </c>
      <c r="D26" s="47">
        <f>D24+D25</f>
        <v>224000</v>
      </c>
      <c r="E26" s="47">
        <f>E24+E25</f>
        <v>482000</v>
      </c>
      <c r="F26" s="47">
        <f>F24+F25</f>
        <v>904000</v>
      </c>
      <c r="G26" s="47">
        <f>G24+G25</f>
        <v>1530000</v>
      </c>
      <c r="H26" s="47">
        <f t="shared" si="2"/>
        <v>3200000</v>
      </c>
    </row>
    <row r="27" spans="1:8" x14ac:dyDescent="0.3">
      <c r="A27" s="41" t="s">
        <v>168</v>
      </c>
      <c r="B27" s="41"/>
      <c r="C27" s="41"/>
      <c r="D27" s="41"/>
      <c r="E27" s="41"/>
      <c r="F27" s="41"/>
      <c r="G27" s="41"/>
      <c r="H27" s="41"/>
    </row>
    <row r="28" spans="1:8" x14ac:dyDescent="0.3">
      <c r="A28" s="8" t="s">
        <v>169</v>
      </c>
      <c r="B28" s="46"/>
      <c r="C28" s="46">
        <f>(C21*Supuestos!$D$18+C22*Supuestos!$D$19+C23*Supuestos!$D$20)*Supuestos!$D$57</f>
        <v>6000</v>
      </c>
      <c r="D28" s="46">
        <f>(D21*Supuestos!$D$18+D22*Supuestos!$D$19+D23*Supuestos!$D$20)*Supuestos!$D$57</f>
        <v>29880</v>
      </c>
      <c r="E28" s="46">
        <f>(E21*Supuestos!$D$18+E22*Supuestos!$D$19+E23*Supuestos!$D$20)*Supuestos!$D$57</f>
        <v>71640</v>
      </c>
      <c r="F28" s="46">
        <f>(F21*Supuestos!$D$18+F22*Supuestos!$D$19+F23*Supuestos!$D$20)*Supuestos!$D$57</f>
        <v>137280</v>
      </c>
      <c r="G28" s="46">
        <f>(G21*Supuestos!$D$18+G22*Supuestos!$D$19+G23*Supuestos!$D$20)*Supuestos!$D$57</f>
        <v>235800</v>
      </c>
      <c r="H28" s="46">
        <f>SUM(C28:G28)</f>
        <v>480600</v>
      </c>
    </row>
    <row r="29" spans="1:8" x14ac:dyDescent="0.3">
      <c r="A29" s="8" t="s">
        <v>170</v>
      </c>
      <c r="B29" s="46"/>
      <c r="C29" s="46">
        <f>C25*Supuestos!$B$9</f>
        <v>4500</v>
      </c>
      <c r="D29" s="46">
        <f>D25*Supuestos!$B$9</f>
        <v>10500</v>
      </c>
      <c r="E29" s="46">
        <f>E25*Supuestos!$B$9</f>
        <v>15000</v>
      </c>
      <c r="F29" s="46">
        <f>F25*Supuestos!$B$9</f>
        <v>25500</v>
      </c>
      <c r="G29" s="46">
        <f>G25*Supuestos!$B$9</f>
        <v>36000</v>
      </c>
      <c r="H29" s="46">
        <f>SUM(C29:G29)</f>
        <v>91500</v>
      </c>
    </row>
    <row r="30" spans="1:8" x14ac:dyDescent="0.3">
      <c r="A30" s="20" t="s">
        <v>171</v>
      </c>
      <c r="B30" s="47"/>
      <c r="C30" s="47">
        <f>C28+C29</f>
        <v>10500</v>
      </c>
      <c r="D30" s="47">
        <f>D28+D29</f>
        <v>40380</v>
      </c>
      <c r="E30" s="47">
        <f>E28+E29</f>
        <v>86640</v>
      </c>
      <c r="F30" s="47">
        <f>F28+F29</f>
        <v>162780</v>
      </c>
      <c r="G30" s="47">
        <f>G28+G29</f>
        <v>271800</v>
      </c>
      <c r="H30" s="47">
        <f>SUM(C30:G30)</f>
        <v>572100</v>
      </c>
    </row>
    <row r="31" spans="1:8" x14ac:dyDescent="0.3">
      <c r="A31" s="8" t="s">
        <v>172</v>
      </c>
      <c r="B31" s="46"/>
      <c r="C31" s="48">
        <f>Supuestos!B$32*Supuestos!$E$57</f>
        <v>150000</v>
      </c>
      <c r="D31" s="48">
        <f>Supuestos!C$32*Supuestos!$E$57</f>
        <v>210000</v>
      </c>
      <c r="E31" s="48">
        <f>Supuestos!D$32*Supuestos!$E$57</f>
        <v>300000</v>
      </c>
      <c r="F31" s="48">
        <f>Supuestos!E$32*Supuestos!$E$57</f>
        <v>400000</v>
      </c>
      <c r="G31" s="48">
        <f>Supuestos!F$32*Supuestos!$E$57</f>
        <v>550000</v>
      </c>
      <c r="H31" s="46">
        <f>SUM(C31:G31)</f>
        <v>1610000</v>
      </c>
    </row>
    <row r="32" spans="1:8" x14ac:dyDescent="0.3">
      <c r="A32" s="20" t="s">
        <v>173</v>
      </c>
      <c r="B32" s="47"/>
      <c r="C32" s="47">
        <f>C30+C31</f>
        <v>160500</v>
      </c>
      <c r="D32" s="47">
        <f>D30+D31</f>
        <v>250380</v>
      </c>
      <c r="E32" s="47">
        <f>E30+E31</f>
        <v>386640</v>
      </c>
      <c r="F32" s="47">
        <f>F30+F31</f>
        <v>562780</v>
      </c>
      <c r="G32" s="47">
        <f>G30+G31</f>
        <v>821800</v>
      </c>
      <c r="H32" s="47">
        <f>SUM(C32:G32)</f>
        <v>2182100</v>
      </c>
    </row>
    <row r="33" spans="1:8" x14ac:dyDescent="0.3">
      <c r="A33" s="41" t="s">
        <v>174</v>
      </c>
      <c r="B33" s="41"/>
      <c r="C33" s="41"/>
      <c r="D33" s="41"/>
      <c r="E33" s="41"/>
      <c r="F33" s="41"/>
      <c r="G33" s="41"/>
      <c r="H33" s="41"/>
    </row>
    <row r="34" spans="1:8" x14ac:dyDescent="0.3">
      <c r="A34" s="20" t="s">
        <v>175</v>
      </c>
      <c r="B34" s="47"/>
      <c r="C34" s="47">
        <f>C26-C32</f>
        <v>-100500</v>
      </c>
      <c r="D34" s="47">
        <f>D26-D32</f>
        <v>-26380</v>
      </c>
      <c r="E34" s="47">
        <f>E26-E32</f>
        <v>95360</v>
      </c>
      <c r="F34" s="47">
        <f>F26-F32</f>
        <v>341220</v>
      </c>
      <c r="G34" s="47">
        <f>G26-G32</f>
        <v>708200</v>
      </c>
      <c r="H34" s="47">
        <f>SUM(C34:G34)</f>
        <v>1017900</v>
      </c>
    </row>
    <row r="35" spans="1:8" x14ac:dyDescent="0.3">
      <c r="A35" s="8" t="s">
        <v>176</v>
      </c>
      <c r="B35" s="49"/>
      <c r="C35" s="49">
        <f>IF(C26=0,0,C34/C26)</f>
        <v>-1.675</v>
      </c>
      <c r="D35" s="49">
        <f>IF(D26=0,0,D34/D26)</f>
        <v>-0.11776785714285715</v>
      </c>
      <c r="E35" s="49">
        <f>IF(E26=0,0,E34/E26)</f>
        <v>0.1978423236514523</v>
      </c>
      <c r="F35" s="49">
        <f>IF(F26=0,0,F34/F26)</f>
        <v>0.37745575221238936</v>
      </c>
      <c r="G35" s="49">
        <f>IF(G26=0,0,G34/G26)</f>
        <v>0.46287581699346403</v>
      </c>
      <c r="H35" s="49"/>
    </row>
    <row r="36" spans="1:8" x14ac:dyDescent="0.3">
      <c r="A36" s="8" t="s">
        <v>177</v>
      </c>
      <c r="B36" s="46"/>
      <c r="C36" s="46">
        <f>IF(C3&lt;=Supuestos!$B$11,Supuestos!$B$50/Supuestos!$B$11,0)</f>
        <v>44000</v>
      </c>
      <c r="D36" s="46">
        <f>IF(D3&lt;=Supuestos!$B$11,Supuestos!$B$50/Supuestos!$B$11,0)</f>
        <v>44000</v>
      </c>
      <c r="E36" s="46">
        <f>IF(E3&lt;=Supuestos!$B$11,Supuestos!$B$50/Supuestos!$B$11,0)</f>
        <v>44000</v>
      </c>
      <c r="F36" s="46">
        <f>IF(F3&lt;=Supuestos!$B$11,Supuestos!$B$50/Supuestos!$B$11,0)</f>
        <v>44000</v>
      </c>
      <c r="G36" s="46">
        <f>IF(G3&lt;=Supuestos!$B$11,Supuestos!$B$50/Supuestos!$B$11,0)</f>
        <v>44000</v>
      </c>
      <c r="H36" s="46">
        <f>SUM(C36:G36)</f>
        <v>220000</v>
      </c>
    </row>
    <row r="37" spans="1:8" x14ac:dyDescent="0.3">
      <c r="A37" s="20" t="s">
        <v>178</v>
      </c>
      <c r="B37" s="47"/>
      <c r="C37" s="47">
        <f>C34-C36</f>
        <v>-144500</v>
      </c>
      <c r="D37" s="47">
        <f>D34-D36</f>
        <v>-70380</v>
      </c>
      <c r="E37" s="47">
        <f>E34-E36</f>
        <v>51360</v>
      </c>
      <c r="F37" s="47">
        <f>F34-F36</f>
        <v>297220</v>
      </c>
      <c r="G37" s="47">
        <f>G34-G36</f>
        <v>664200</v>
      </c>
      <c r="H37" s="47">
        <f>SUM(C37:G37)</f>
        <v>797900</v>
      </c>
    </row>
    <row r="38" spans="1:8" x14ac:dyDescent="0.3">
      <c r="A38" s="6" t="s">
        <v>179</v>
      </c>
      <c r="B38" s="50"/>
      <c r="C38" s="50">
        <f>0</f>
        <v>0</v>
      </c>
      <c r="D38" s="50">
        <f>C40</f>
        <v>144500</v>
      </c>
      <c r="E38" s="50">
        <f>D40</f>
        <v>214880</v>
      </c>
      <c r="F38" s="50">
        <f>E40</f>
        <v>163520</v>
      </c>
      <c r="G38" s="50">
        <f>F40</f>
        <v>0</v>
      </c>
      <c r="H38" s="50"/>
    </row>
    <row r="39" spans="1:8" x14ac:dyDescent="0.3">
      <c r="A39" s="6" t="s">
        <v>180</v>
      </c>
      <c r="B39" s="50"/>
      <c r="C39" s="50">
        <f>MIN(C38,MAX(C37,0))</f>
        <v>0</v>
      </c>
      <c r="D39" s="50">
        <f>MIN(D38,MAX(D37,0))</f>
        <v>0</v>
      </c>
      <c r="E39" s="50">
        <f>MIN(E38,MAX(E37,0))</f>
        <v>51360</v>
      </c>
      <c r="F39" s="50">
        <f>MIN(F38,MAX(F37,0))</f>
        <v>163520</v>
      </c>
      <c r="G39" s="50">
        <f>MIN(G38,MAX(G37,0))</f>
        <v>0</v>
      </c>
      <c r="H39" s="50"/>
    </row>
    <row r="40" spans="1:8" x14ac:dyDescent="0.3">
      <c r="A40" s="6" t="s">
        <v>181</v>
      </c>
      <c r="B40" s="50"/>
      <c r="C40" s="50">
        <f>C38+MAX(-C37,0)-C39</f>
        <v>144500</v>
      </c>
      <c r="D40" s="50">
        <f>D38+MAX(-D37,0)-D39</f>
        <v>214880</v>
      </c>
      <c r="E40" s="50">
        <f>E38+MAX(-E37,0)-E39</f>
        <v>163520</v>
      </c>
      <c r="F40" s="50">
        <f>F38+MAX(-F37,0)-F39</f>
        <v>0</v>
      </c>
      <c r="G40" s="50">
        <f>G38+MAX(-G37,0)-G39</f>
        <v>0</v>
      </c>
      <c r="H40" s="50"/>
    </row>
    <row r="41" spans="1:8" x14ac:dyDescent="0.3">
      <c r="A41" s="6" t="s">
        <v>182</v>
      </c>
      <c r="B41" s="50"/>
      <c r="C41" s="50">
        <f>MAX(C37,0)-C39</f>
        <v>0</v>
      </c>
      <c r="D41" s="50">
        <f>MAX(D37,0)-D39</f>
        <v>0</v>
      </c>
      <c r="E41" s="50">
        <f>MAX(E37,0)-E39</f>
        <v>0</v>
      </c>
      <c r="F41" s="50">
        <f>MAX(F37,0)-F39</f>
        <v>133700</v>
      </c>
      <c r="G41" s="50">
        <f>MAX(G37,0)-G39</f>
        <v>664200</v>
      </c>
      <c r="H41" s="50"/>
    </row>
    <row r="42" spans="1:8" x14ac:dyDescent="0.3">
      <c r="A42" s="6" t="s">
        <v>183</v>
      </c>
      <c r="B42" s="50"/>
      <c r="C42" s="50">
        <f>C41*Supuestos!$B$7</f>
        <v>0</v>
      </c>
      <c r="D42" s="50">
        <f>D41*Supuestos!$B$7</f>
        <v>0</v>
      </c>
      <c r="E42" s="50">
        <f>E41*Supuestos!$B$7</f>
        <v>0</v>
      </c>
      <c r="F42" s="50">
        <f>F41*Supuestos!$B$7</f>
        <v>40110</v>
      </c>
      <c r="G42" s="50">
        <f>G41*Supuestos!$B$7</f>
        <v>199260</v>
      </c>
      <c r="H42" s="50"/>
    </row>
    <row r="43" spans="1:8" x14ac:dyDescent="0.3">
      <c r="A43" s="6" t="s">
        <v>184</v>
      </c>
      <c r="B43" s="50"/>
      <c r="C43" s="50">
        <f>C26*Supuestos!$B$8</f>
        <v>600</v>
      </c>
      <c r="D43" s="50">
        <f>D26*Supuestos!$B$8</f>
        <v>2240</v>
      </c>
      <c r="E43" s="50">
        <f>E26*Supuestos!$B$8</f>
        <v>4820</v>
      </c>
      <c r="F43" s="50">
        <f>F26*Supuestos!$B$8</f>
        <v>9040</v>
      </c>
      <c r="G43" s="50">
        <f>G26*Supuestos!$B$8</f>
        <v>15300</v>
      </c>
      <c r="H43" s="50"/>
    </row>
    <row r="44" spans="1:8" x14ac:dyDescent="0.3">
      <c r="A44" s="8" t="s">
        <v>185</v>
      </c>
      <c r="B44" s="46"/>
      <c r="C44" s="46">
        <f>MAX(C42,C43)</f>
        <v>600</v>
      </c>
      <c r="D44" s="46">
        <f>MAX(D42,D43)</f>
        <v>2240</v>
      </c>
      <c r="E44" s="46">
        <f>MAX(E42,E43)</f>
        <v>4820</v>
      </c>
      <c r="F44" s="46">
        <f>MAX(F42,F43)</f>
        <v>40110</v>
      </c>
      <c r="G44" s="46">
        <f>MAX(G42,G43)</f>
        <v>199260</v>
      </c>
      <c r="H44" s="46">
        <f>SUM(C44:G44)</f>
        <v>247030</v>
      </c>
    </row>
    <row r="45" spans="1:8" x14ac:dyDescent="0.3">
      <c r="A45" s="20" t="s">
        <v>186</v>
      </c>
      <c r="B45" s="47"/>
      <c r="C45" s="47">
        <f>C37-C44</f>
        <v>-145100</v>
      </c>
      <c r="D45" s="47">
        <f>D37-D44</f>
        <v>-72620</v>
      </c>
      <c r="E45" s="47">
        <f>E37-E44</f>
        <v>46540</v>
      </c>
      <c r="F45" s="47">
        <f>F37-F44</f>
        <v>257110</v>
      </c>
      <c r="G45" s="47">
        <f>G37-G44</f>
        <v>464940</v>
      </c>
      <c r="H45" s="47">
        <f>SUM(C45:G45)</f>
        <v>550870</v>
      </c>
    </row>
    <row r="46" spans="1:8" x14ac:dyDescent="0.3">
      <c r="A46" s="41" t="s">
        <v>187</v>
      </c>
      <c r="B46" s="41"/>
      <c r="C46" s="41"/>
      <c r="D46" s="41"/>
      <c r="E46" s="41"/>
      <c r="F46" s="41"/>
      <c r="G46" s="41"/>
      <c r="H46" s="41"/>
    </row>
    <row r="47" spans="1:8" x14ac:dyDescent="0.3">
      <c r="A47" s="20" t="s">
        <v>188</v>
      </c>
      <c r="B47" s="51">
        <f>-Supuestos!$B$50</f>
        <v>-220000</v>
      </c>
      <c r="C47" s="47">
        <f>C45+C36</f>
        <v>-101100</v>
      </c>
      <c r="D47" s="47">
        <f>D45+D36</f>
        <v>-28620</v>
      </c>
      <c r="E47" s="47">
        <f>E45+E36</f>
        <v>90540</v>
      </c>
      <c r="F47" s="47">
        <f>F45+F36</f>
        <v>301110</v>
      </c>
      <c r="G47" s="47">
        <f>G45+G36</f>
        <v>508940</v>
      </c>
      <c r="H47" s="47">
        <f>SUM(C47:G47)</f>
        <v>770870</v>
      </c>
    </row>
    <row r="48" spans="1:8" x14ac:dyDescent="0.3">
      <c r="A48" s="8" t="s">
        <v>189</v>
      </c>
      <c r="B48" s="46">
        <f>B47</f>
        <v>-220000</v>
      </c>
      <c r="C48" s="46">
        <f>B48+C47</f>
        <v>-321100</v>
      </c>
      <c r="D48" s="46">
        <f>C48+D47</f>
        <v>-349720</v>
      </c>
      <c r="E48" s="46">
        <f>D48+E47</f>
        <v>-259180</v>
      </c>
      <c r="F48" s="46">
        <f>E48+F47</f>
        <v>41930</v>
      </c>
      <c r="G48" s="46">
        <f>F48+G47</f>
        <v>550870</v>
      </c>
      <c r="H48" s="46"/>
    </row>
    <row r="49" spans="1:8" x14ac:dyDescent="0.3">
      <c r="A49" s="6" t="s">
        <v>190</v>
      </c>
      <c r="B49" s="52">
        <f>1/(1+Supuestos!$B$6)^B3</f>
        <v>1</v>
      </c>
      <c r="C49" s="52">
        <f>1/(1+Supuestos!$B$6)^C3</f>
        <v>0.86956521739130443</v>
      </c>
      <c r="D49" s="52">
        <f>1/(1+Supuestos!$B$6)^D3</f>
        <v>0.7561436672967865</v>
      </c>
      <c r="E49" s="52">
        <f>1/(1+Supuestos!$B$6)^E3</f>
        <v>0.65751623243198831</v>
      </c>
      <c r="F49" s="52">
        <f>1/(1+Supuestos!$B$6)^F3</f>
        <v>0.57175324559303342</v>
      </c>
      <c r="G49" s="52">
        <f>1/(1+Supuestos!$B$6)^G3</f>
        <v>0.49717673529828987</v>
      </c>
      <c r="H49" s="52"/>
    </row>
    <row r="50" spans="1:8" x14ac:dyDescent="0.3">
      <c r="A50" s="8" t="s">
        <v>191</v>
      </c>
      <c r="B50" s="46">
        <f t="shared" ref="B50:G50" si="3">B47*B49</f>
        <v>-220000</v>
      </c>
      <c r="C50" s="46">
        <f t="shared" si="3"/>
        <v>-87913.043478260879</v>
      </c>
      <c r="D50" s="46">
        <f t="shared" si="3"/>
        <v>-21640.83175803403</v>
      </c>
      <c r="E50" s="46">
        <f t="shared" si="3"/>
        <v>59531.519684392224</v>
      </c>
      <c r="F50" s="46">
        <f t="shared" si="3"/>
        <v>172160.61978051829</v>
      </c>
      <c r="G50" s="46">
        <f t="shared" si="3"/>
        <v>253033.12766271166</v>
      </c>
      <c r="H50" s="46"/>
    </row>
    <row r="51" spans="1:8" x14ac:dyDescent="0.3">
      <c r="A51" s="8" t="s">
        <v>192</v>
      </c>
      <c r="B51" s="46">
        <f>B50</f>
        <v>-220000</v>
      </c>
      <c r="C51" s="46">
        <f>B51+C50</f>
        <v>-307913.04347826086</v>
      </c>
      <c r="D51" s="46">
        <f>C51+D50</f>
        <v>-329553.87523629487</v>
      </c>
      <c r="E51" s="46">
        <f>D51+E50</f>
        <v>-270022.35555190267</v>
      </c>
      <c r="F51" s="46">
        <f>E51+F50</f>
        <v>-97861.735771384381</v>
      </c>
      <c r="G51" s="46">
        <f>F51+G50</f>
        <v>155171.39189132728</v>
      </c>
      <c r="H51" s="46"/>
    </row>
    <row r="52" spans="1:8" x14ac:dyDescent="0.3">
      <c r="A52" s="6" t="s">
        <v>193</v>
      </c>
      <c r="B52" s="50"/>
      <c r="C52" s="50">
        <f>C32+C44</f>
        <v>161100</v>
      </c>
      <c r="D52" s="50">
        <f>D32+D44</f>
        <v>252620</v>
      </c>
      <c r="E52" s="50">
        <f>E32+E44</f>
        <v>391460</v>
      </c>
      <c r="F52" s="50">
        <f>F32+F44</f>
        <v>602890</v>
      </c>
      <c r="G52" s="50">
        <f>G32+G44</f>
        <v>1021060</v>
      </c>
      <c r="H52" s="50"/>
    </row>
    <row r="53" spans="1:8" x14ac:dyDescent="0.3">
      <c r="A53" s="6" t="s">
        <v>194</v>
      </c>
      <c r="B53" s="53"/>
      <c r="C53" s="53" t="str">
        <f>IF(AND(B48&lt;0,C48&gt;=0),B3+(-B48)/C47,"")</f>
        <v/>
      </c>
      <c r="D53" s="53" t="str">
        <f>IF(AND(C48&lt;0,D48&gt;=0),C3+(-C48)/D47,"")</f>
        <v/>
      </c>
      <c r="E53" s="53" t="str">
        <f>IF(AND(D48&lt;0,E48&gt;=0),D3+(-D48)/E47,"")</f>
        <v/>
      </c>
      <c r="F53" s="53">
        <f>IF(AND(E48&lt;0,F48&gt;=0),E3+(-E48)/F47,"")</f>
        <v>3.8607485636478365</v>
      </c>
      <c r="G53" s="53" t="str">
        <f>IF(AND(F48&lt;0,G48&gt;=0),F3+(-F48)/G47,"")</f>
        <v/>
      </c>
      <c r="H53" s="53"/>
    </row>
    <row r="54" spans="1:8" x14ac:dyDescent="0.3">
      <c r="A54" s="6" t="s">
        <v>195</v>
      </c>
      <c r="B54" s="53"/>
      <c r="C54" s="53" t="str">
        <f>IF(AND(B51&lt;0,C51&gt;=0),B3+(-B51)/C50,"")</f>
        <v/>
      </c>
      <c r="D54" s="53" t="str">
        <f>IF(AND(C51&lt;0,D51&gt;=0),C3+(-C51)/D50,"")</f>
        <v/>
      </c>
      <c r="E54" s="53" t="str">
        <f>IF(AND(D51&lt;0,E51&gt;=0),D3+(-D51)/E50,"")</f>
        <v/>
      </c>
      <c r="F54" s="53" t="str">
        <f>IF(AND(E51&lt;0,F51&gt;=0),E3+(-E51)/F50,"")</f>
        <v/>
      </c>
      <c r="G54" s="53">
        <f>IF(AND(F51&lt;0,G51&gt;=0),F3+(-F51)/G50,"")</f>
        <v>4.3867546383168934</v>
      </c>
      <c r="H54" s="53"/>
    </row>
    <row r="55" spans="1:8" x14ac:dyDescent="0.3">
      <c r="A55" s="41" t="s">
        <v>196</v>
      </c>
      <c r="B55" s="41"/>
      <c r="C55" s="41"/>
      <c r="D55" s="41"/>
      <c r="E55" s="41"/>
      <c r="F55" s="41"/>
      <c r="G55" s="41"/>
      <c r="H55" s="41"/>
    </row>
    <row r="56" spans="1:8" x14ac:dyDescent="0.3">
      <c r="A56" s="15" t="s">
        <v>4</v>
      </c>
      <c r="B56" s="54">
        <f>SUM(B50:G50)</f>
        <v>155171.39189132728</v>
      </c>
      <c r="C56" s="55"/>
      <c r="D56" s="55"/>
      <c r="E56" s="55"/>
      <c r="F56" s="55"/>
      <c r="G56" s="55"/>
      <c r="H56" s="55"/>
    </row>
    <row r="57" spans="1:8" x14ac:dyDescent="0.3">
      <c r="A57" s="15" t="s">
        <v>5</v>
      </c>
      <c r="B57" s="56">
        <f>IFERROR(IRR(B47:G47),"n/d")</f>
        <v>0.26661660915823648</v>
      </c>
      <c r="C57" s="57"/>
      <c r="D57" s="57"/>
      <c r="E57" s="57"/>
      <c r="F57" s="57"/>
      <c r="G57" s="57"/>
      <c r="H57" s="57"/>
    </row>
    <row r="58" spans="1:8" x14ac:dyDescent="0.3">
      <c r="A58" s="15" t="s">
        <v>197</v>
      </c>
      <c r="B58" s="58">
        <f>IF(COUNT(C53:G53)=0,"No se recupera",MIN(C53:G53))</f>
        <v>3.8607485636478365</v>
      </c>
      <c r="C58" s="59"/>
      <c r="D58" s="59"/>
      <c r="E58" s="59"/>
      <c r="F58" s="59"/>
      <c r="G58" s="59"/>
      <c r="H58" s="59"/>
    </row>
    <row r="59" spans="1:8" x14ac:dyDescent="0.3">
      <c r="A59" s="15" t="s">
        <v>198</v>
      </c>
      <c r="B59" s="58">
        <f>IF(COUNT(C54:G54)=0,"No se recupera",MIN(C54:G54))</f>
        <v>4.3867546383168934</v>
      </c>
      <c r="C59" s="59"/>
      <c r="D59" s="59"/>
      <c r="E59" s="59"/>
      <c r="F59" s="59"/>
      <c r="G59" s="59"/>
      <c r="H59" s="59"/>
    </row>
    <row r="60" spans="1:8" x14ac:dyDescent="0.3">
      <c r="A60" s="15" t="s">
        <v>199</v>
      </c>
      <c r="B60" s="58">
        <f>IFERROR(NPV(Supuestos!$B$6,C26:G26)/(Supuestos!$B$50+NPV(Supuestos!$B$6,C52:G52)),"n/d")</f>
        <v>1.0934290783200356</v>
      </c>
      <c r="C60" s="59"/>
      <c r="D60" s="59"/>
      <c r="E60" s="59"/>
      <c r="F60" s="59"/>
      <c r="G60" s="59"/>
      <c r="H60" s="59"/>
    </row>
    <row r="61" spans="1:8" x14ac:dyDescent="0.3">
      <c r="A61" s="15" t="s">
        <v>200</v>
      </c>
      <c r="B61" s="58">
        <f>IFERROR(SUMIF(C50:G50,"&gt;0")/(Supuestos!$B$50-SUMIF(C50:G50,"&lt;0")),"n/d")</f>
        <v>1.4708528818848423</v>
      </c>
      <c r="C61" s="59"/>
      <c r="D61" s="59"/>
      <c r="E61" s="59"/>
      <c r="F61" s="59"/>
      <c r="G61" s="59"/>
      <c r="H61" s="59"/>
    </row>
    <row r="62" spans="1:8" x14ac:dyDescent="0.3">
      <c r="A62" s="15" t="s">
        <v>201</v>
      </c>
      <c r="B62" s="58">
        <f>1+B56/Supuestos!$B$50</f>
        <v>1.7053245085969422</v>
      </c>
      <c r="C62" s="59"/>
      <c r="D62" s="59"/>
      <c r="E62" s="59"/>
      <c r="F62" s="59"/>
      <c r="G62" s="59"/>
      <c r="H62" s="59"/>
    </row>
    <row r="63" spans="1:8" x14ac:dyDescent="0.3">
      <c r="A63" s="15" t="s">
        <v>202</v>
      </c>
      <c r="B63" s="60">
        <f>(SUM(C47:G47)-Supuestos!$B$50)/Supuestos!$B$50</f>
        <v>2.5039545454545453</v>
      </c>
      <c r="C63" s="61"/>
      <c r="D63" s="61"/>
      <c r="E63" s="61"/>
      <c r="F63" s="61"/>
      <c r="G63" s="61"/>
      <c r="H63" s="61"/>
    </row>
    <row r="64" spans="1:8" x14ac:dyDescent="0.3">
      <c r="A64" s="15" t="s">
        <v>203</v>
      </c>
      <c r="B64" s="54">
        <f>-MIN(B48:G48)</f>
        <v>349720</v>
      </c>
      <c r="C64" s="55"/>
      <c r="D64" s="55"/>
      <c r="E64" s="55"/>
      <c r="F64" s="55"/>
      <c r="G64" s="55"/>
      <c r="H64" s="55"/>
    </row>
    <row r="65" spans="1:8" x14ac:dyDescent="0.3">
      <c r="A65" s="15" t="s">
        <v>204</v>
      </c>
      <c r="B65" s="54">
        <f>CEILING(B64*(1+Supuestos!$B$12),50000)</f>
        <v>400000</v>
      </c>
      <c r="C65" s="55"/>
      <c r="D65" s="55"/>
      <c r="E65" s="55"/>
      <c r="F65" s="55"/>
      <c r="G65" s="55"/>
      <c r="H65" s="55"/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8A8A"/>
    <pageSetUpPr fitToPage="1"/>
  </sheetPr>
  <dimension ref="A1:H31"/>
  <sheetViews>
    <sheetView showGridLines="0" workbookViewId="0"/>
  </sheetViews>
  <sheetFormatPr baseColWidth="10" defaultColWidth="8.88671875" defaultRowHeight="14.4" x14ac:dyDescent="0.3"/>
  <cols>
    <col min="1" max="1" width="46" customWidth="1"/>
    <col min="2" max="2" width="16" customWidth="1"/>
    <col min="3" max="3" width="20" customWidth="1"/>
    <col min="4" max="8" width="16" customWidth="1"/>
  </cols>
  <sheetData>
    <row r="1" spans="1:8" ht="30" customHeight="1" x14ac:dyDescent="0.3">
      <c r="A1" s="5" t="s">
        <v>205</v>
      </c>
      <c r="B1" s="2"/>
      <c r="C1" s="2"/>
      <c r="D1" s="2"/>
      <c r="E1" s="2"/>
      <c r="F1" s="2"/>
      <c r="G1" s="2"/>
      <c r="H1" s="2"/>
    </row>
    <row r="2" spans="1:8" x14ac:dyDescent="0.3">
      <c r="A2" s="6" t="s">
        <v>206</v>
      </c>
    </row>
    <row r="4" spans="1:8" x14ac:dyDescent="0.3">
      <c r="A4" s="13" t="s">
        <v>207</v>
      </c>
      <c r="B4" s="14" t="s">
        <v>208</v>
      </c>
      <c r="C4" s="14" t="s">
        <v>209</v>
      </c>
      <c r="D4" s="111" t="s">
        <v>210</v>
      </c>
      <c r="E4" s="92"/>
      <c r="F4" s="92"/>
      <c r="G4" s="92"/>
      <c r="H4" s="92"/>
    </row>
    <row r="5" spans="1:8" x14ac:dyDescent="0.3">
      <c r="A5" s="8" t="s">
        <v>211</v>
      </c>
      <c r="B5" s="62">
        <f>Supuestos!B6</f>
        <v>0.15</v>
      </c>
      <c r="C5" s="63" t="s">
        <v>212</v>
      </c>
      <c r="D5" s="110" t="str">
        <f>"Rendimiento mínimo exigido por los socios"</f>
        <v>Rendimiento mínimo exigido por los socios</v>
      </c>
      <c r="E5" s="92"/>
      <c r="F5" s="92"/>
      <c r="G5" s="92"/>
      <c r="H5" s="92"/>
    </row>
    <row r="6" spans="1:8" x14ac:dyDescent="0.3">
      <c r="A6" s="15" t="s">
        <v>213</v>
      </c>
      <c r="B6" s="64">
        <f>Modelo!$B$56</f>
        <v>155171.39189132728</v>
      </c>
      <c r="C6" s="63" t="s">
        <v>214</v>
      </c>
      <c r="D6" s="110" t="str">
        <f>IF(B6&gt;0,"Crea valor: queda "&amp;TEXT(B6,"#,##0")&amp;" por encima del rendimiento exigido","No alcanza el rendimiento exigido")</f>
        <v>Crea valor: queda 155,171 por encima del rendimiento exigido</v>
      </c>
      <c r="E6" s="92"/>
      <c r="F6" s="92"/>
      <c r="G6" s="92"/>
      <c r="H6" s="92"/>
    </row>
    <row r="7" spans="1:8" x14ac:dyDescent="0.3">
      <c r="A7" s="15" t="s">
        <v>215</v>
      </c>
      <c r="B7" s="62">
        <f>Modelo!$B$57</f>
        <v>0.26661660915823648</v>
      </c>
      <c r="C7" s="63" t="s">
        <v>216</v>
      </c>
      <c r="D7" s="110" t="str">
        <f>IF(ISNUMBER(B7),IF(B7&gt;B5,"Supera la TMAR por "&amp;TEXT(B7-B5,"0.0%")&amp;" puntos","Queda por debajo de la TMAR"),"No definida con estos flujos")</f>
        <v>Supera la TMAR por 11.7% puntos</v>
      </c>
      <c r="E7" s="92"/>
      <c r="F7" s="92"/>
      <c r="G7" s="92"/>
      <c r="H7" s="92"/>
    </row>
    <row r="8" spans="1:8" x14ac:dyDescent="0.3">
      <c r="A8" s="15" t="s">
        <v>217</v>
      </c>
      <c r="B8" s="65">
        <f>Modelo!$B$60</f>
        <v>1.0934290783200356</v>
      </c>
      <c r="C8" s="63" t="s">
        <v>218</v>
      </c>
      <c r="D8" s="110" t="str">
        <f>IF(ISNUMBER(B8),IF(B8&gt;1,"Por cada C$1 de egreso genera C$"&amp;TEXT(B8,"0.00")&amp;" de ingreso (valor presente)","Los egresos superan a los ingresos"),"n/d")</f>
        <v>Por cada C$1 de egreso genera C$1.09 de ingreso (valor presente)</v>
      </c>
      <c r="E8" s="92"/>
      <c r="F8" s="92"/>
      <c r="G8" s="92"/>
      <c r="H8" s="92"/>
    </row>
    <row r="9" spans="1:8" x14ac:dyDescent="0.3">
      <c r="A9" s="8" t="s">
        <v>200</v>
      </c>
      <c r="B9" s="65">
        <f>Modelo!$B$61</f>
        <v>1.4708528818848423</v>
      </c>
      <c r="C9" s="63" t="s">
        <v>218</v>
      </c>
      <c r="D9" s="110" t="str">
        <f>IF(ISNUMBER(B9),IF(B9&gt;1,"Flujos positivos cubren inversión y flujos negativos","No cubre la inversión"),"n/d")</f>
        <v>Flujos positivos cubren inversión y flujos negativos</v>
      </c>
      <c r="E9" s="92"/>
      <c r="F9" s="92"/>
      <c r="G9" s="92"/>
      <c r="H9" s="92"/>
    </row>
    <row r="10" spans="1:8" x14ac:dyDescent="0.3">
      <c r="A10" s="8" t="s">
        <v>219</v>
      </c>
      <c r="B10" s="65">
        <f>Modelo!$B$62</f>
        <v>1.7053245085969422</v>
      </c>
      <c r="C10" s="63" t="s">
        <v>218</v>
      </c>
      <c r="D10" s="110" t="str">
        <f>IF(B10&gt;1,"Cada C$1 invertido devuelve C$"&amp;TEXT(B10,"0.00")&amp;" en valor presente","Devuelve menos de lo invertido")</f>
        <v>Cada C$1 invertido devuelve C$1.71 en valor presente</v>
      </c>
      <c r="E10" s="92"/>
      <c r="F10" s="92"/>
      <c r="G10" s="92"/>
      <c r="H10" s="92"/>
    </row>
    <row r="11" spans="1:8" x14ac:dyDescent="0.3">
      <c r="A11" s="15" t="s">
        <v>220</v>
      </c>
      <c r="B11" s="65">
        <f>Modelo!$B$58</f>
        <v>3.8607485636478365</v>
      </c>
      <c r="C11" s="63" t="s">
        <v>221</v>
      </c>
      <c r="D11" s="110" t="str">
        <f>IF(ISNUMBER(B11),"Se recupera en "&amp;INT(B11)&amp;" años y "&amp;ROUND((B11-INT(B11))*12,0)&amp;" meses","No se recupera en 5 años")</f>
        <v>Se recupera en 3 años y 10 meses</v>
      </c>
      <c r="E11" s="92"/>
      <c r="F11" s="92"/>
      <c r="G11" s="92"/>
      <c r="H11" s="92"/>
    </row>
    <row r="12" spans="1:8" x14ac:dyDescent="0.3">
      <c r="A12" s="8" t="s">
        <v>198</v>
      </c>
      <c r="B12" s="65">
        <f>Modelo!$B$59</f>
        <v>4.3867546383168934</v>
      </c>
      <c r="C12" s="63" t="s">
        <v>221</v>
      </c>
      <c r="D12" s="110" t="str">
        <f>IF(ISNUMBER(B12),"Con flujos descontados: "&amp;INT(B12)&amp;" años y "&amp;ROUND((B12-INT(B12))*12,0)&amp;" meses","No se recupera en 5 años")</f>
        <v>Con flujos descontados: 4 años y 5 meses</v>
      </c>
      <c r="E12" s="92"/>
      <c r="F12" s="92"/>
      <c r="G12" s="92"/>
      <c r="H12" s="92"/>
    </row>
    <row r="13" spans="1:8" x14ac:dyDescent="0.3">
      <c r="A13" s="8" t="s">
        <v>202</v>
      </c>
      <c r="B13" s="66">
        <f>Modelo!$B$63</f>
        <v>2.5039545454545453</v>
      </c>
      <c r="C13" s="63" t="s">
        <v>212</v>
      </c>
      <c r="D13" s="110" t="str">
        <f>"(Flujo libre acumulado - inversión) / inversión, sin descontar"</f>
        <v>(Flujo libre acumulado - inversión) / inversión, sin descontar</v>
      </c>
      <c r="E13" s="92"/>
      <c r="F13" s="92"/>
      <c r="G13" s="92"/>
      <c r="H13" s="92"/>
    </row>
    <row r="14" spans="1:8" x14ac:dyDescent="0.3">
      <c r="A14" s="8" t="s">
        <v>203</v>
      </c>
      <c r="B14" s="64">
        <f>Modelo!$B$64</f>
        <v>349720</v>
      </c>
      <c r="C14" s="63" t="s">
        <v>212</v>
      </c>
      <c r="D14" s="110" t="str">
        <f>"Punto más bajo del flujo acumulado"</f>
        <v>Punto más bajo del flujo acumulado</v>
      </c>
      <c r="E14" s="92"/>
      <c r="F14" s="92"/>
      <c r="G14" s="92"/>
      <c r="H14" s="92"/>
    </row>
    <row r="15" spans="1:8" x14ac:dyDescent="0.3">
      <c r="A15" s="8" t="s">
        <v>204</v>
      </c>
      <c r="B15" s="64">
        <f>Modelo!$B$65</f>
        <v>400000</v>
      </c>
      <c r="C15" s="63" t="s">
        <v>212</v>
      </c>
      <c r="D15" s="110" t="str">
        <f>"Necesidad máxima más colchón, redondeado a C$50,000"</f>
        <v>Necesidad máxima más colchón, redondeado a C$50,000</v>
      </c>
      <c r="E15" s="92"/>
      <c r="F15" s="92"/>
      <c r="G15" s="92"/>
      <c r="H15" s="92"/>
    </row>
    <row r="18" spans="1:8" x14ac:dyDescent="0.3">
      <c r="A18" s="7" t="s">
        <v>222</v>
      </c>
      <c r="B18" s="7"/>
      <c r="C18" s="7"/>
      <c r="D18" s="7"/>
      <c r="E18" s="7"/>
      <c r="F18" s="7"/>
      <c r="G18" s="7"/>
      <c r="H18" s="7"/>
    </row>
    <row r="19" spans="1:8" x14ac:dyDescent="0.3">
      <c r="A19" s="13" t="s">
        <v>61</v>
      </c>
      <c r="B19" s="14" t="s">
        <v>145</v>
      </c>
      <c r="C19" s="14" t="s">
        <v>53</v>
      </c>
      <c r="D19" s="14" t="s">
        <v>54</v>
      </c>
      <c r="E19" s="14" t="s">
        <v>55</v>
      </c>
      <c r="F19" s="14" t="s">
        <v>56</v>
      </c>
      <c r="G19" s="14" t="s">
        <v>57</v>
      </c>
    </row>
    <row r="20" spans="1:8" x14ac:dyDescent="0.3">
      <c r="A20" s="8" t="s">
        <v>223</v>
      </c>
      <c r="B20" s="67">
        <f>Modelo!B47</f>
        <v>-220000</v>
      </c>
      <c r="C20" s="67">
        <f>Modelo!C47</f>
        <v>-101100</v>
      </c>
      <c r="D20" s="67">
        <f>Modelo!D47</f>
        <v>-28620</v>
      </c>
      <c r="E20" s="67">
        <f>Modelo!E47</f>
        <v>90540</v>
      </c>
      <c r="F20" s="67">
        <f>Modelo!F47</f>
        <v>301110</v>
      </c>
      <c r="G20" s="67">
        <f>Modelo!G47</f>
        <v>508940</v>
      </c>
    </row>
    <row r="21" spans="1:8" x14ac:dyDescent="0.3">
      <c r="A21" s="8" t="s">
        <v>224</v>
      </c>
      <c r="B21" s="68">
        <f>Modelo!B49</f>
        <v>1</v>
      </c>
      <c r="C21" s="68">
        <f>Modelo!C49</f>
        <v>0.86956521739130443</v>
      </c>
      <c r="D21" s="68">
        <f>Modelo!D49</f>
        <v>0.7561436672967865</v>
      </c>
      <c r="E21" s="68">
        <f>Modelo!E49</f>
        <v>0.65751623243198831</v>
      </c>
      <c r="F21" s="68">
        <f>Modelo!F49</f>
        <v>0.57175324559303342</v>
      </c>
      <c r="G21" s="68">
        <f>Modelo!G49</f>
        <v>0.49717673529828987</v>
      </c>
    </row>
    <row r="22" spans="1:8" x14ac:dyDescent="0.3">
      <c r="A22" s="8" t="s">
        <v>225</v>
      </c>
      <c r="B22" s="67">
        <f>Modelo!B50</f>
        <v>-220000</v>
      </c>
      <c r="C22" s="67">
        <f>Modelo!C50</f>
        <v>-87913.043478260879</v>
      </c>
      <c r="D22" s="67">
        <f>Modelo!D50</f>
        <v>-21640.83175803403</v>
      </c>
      <c r="E22" s="67">
        <f>Modelo!E50</f>
        <v>59531.519684392224</v>
      </c>
      <c r="F22" s="67">
        <f>Modelo!F50</f>
        <v>172160.61978051829</v>
      </c>
      <c r="G22" s="67">
        <f>Modelo!G50</f>
        <v>253033.12766271166</v>
      </c>
    </row>
    <row r="23" spans="1:8" x14ac:dyDescent="0.3">
      <c r="A23" s="8" t="s">
        <v>226</v>
      </c>
      <c r="B23" s="67">
        <f>Modelo!B48</f>
        <v>-220000</v>
      </c>
      <c r="C23" s="67">
        <f>Modelo!C48</f>
        <v>-321100</v>
      </c>
      <c r="D23" s="67">
        <f>Modelo!D48</f>
        <v>-349720</v>
      </c>
      <c r="E23" s="67">
        <f>Modelo!E48</f>
        <v>-259180</v>
      </c>
      <c r="F23" s="67">
        <f>Modelo!F48</f>
        <v>41930</v>
      </c>
      <c r="G23" s="67">
        <f>Modelo!G48</f>
        <v>550870</v>
      </c>
    </row>
    <row r="24" spans="1:8" x14ac:dyDescent="0.3">
      <c r="A24" s="8" t="s">
        <v>227</v>
      </c>
      <c r="B24" s="67">
        <f>Modelo!B51</f>
        <v>-220000</v>
      </c>
      <c r="C24" s="67">
        <f>Modelo!C51</f>
        <v>-307913.04347826086</v>
      </c>
      <c r="D24" s="67">
        <f>Modelo!D51</f>
        <v>-329553.87523629487</v>
      </c>
      <c r="E24" s="67">
        <f>Modelo!E51</f>
        <v>-270022.35555190267</v>
      </c>
      <c r="F24" s="67">
        <f>Modelo!F51</f>
        <v>-97861.735771384381</v>
      </c>
      <c r="G24" s="67">
        <f>Modelo!G51</f>
        <v>155171.39189132728</v>
      </c>
    </row>
    <row r="25" spans="1:8" x14ac:dyDescent="0.3">
      <c r="A25" s="20" t="s">
        <v>228</v>
      </c>
      <c r="B25" s="28">
        <f>SUM(B22:G22)</f>
        <v>155171.39189132728</v>
      </c>
    </row>
    <row r="28" spans="1:8" x14ac:dyDescent="0.3">
      <c r="A28" s="7" t="s">
        <v>229</v>
      </c>
      <c r="B28" s="7"/>
      <c r="C28" s="7"/>
      <c r="D28" s="7"/>
      <c r="E28" s="7"/>
      <c r="F28" s="7"/>
      <c r="G28" s="7"/>
      <c r="H28" s="7"/>
    </row>
    <row r="29" spans="1:8" x14ac:dyDescent="0.3">
      <c r="A29" s="13" t="s">
        <v>230</v>
      </c>
      <c r="B29" s="69">
        <v>0.1</v>
      </c>
      <c r="C29" s="69">
        <v>0.12</v>
      </c>
      <c r="D29" s="69">
        <v>0.15</v>
      </c>
      <c r="E29" s="69">
        <v>0.18</v>
      </c>
      <c r="F29" s="69">
        <v>0.2</v>
      </c>
      <c r="G29" s="69">
        <v>0.25</v>
      </c>
      <c r="H29" s="69">
        <v>0.3</v>
      </c>
    </row>
    <row r="30" spans="1:8" x14ac:dyDescent="0.3">
      <c r="A30" s="8" t="s">
        <v>231</v>
      </c>
      <c r="B30" s="23">
        <f>SUMPRODUCT(Modelo!$B$47:$G$47/(1+B29)^Modelo!$B$3:$G$3)</f>
        <v>254135.93830525718</v>
      </c>
      <c r="C30" s="23">
        <f>SUMPRODUCT(Modelo!$B$47:$G$47/(1+C29)^Modelo!$B$3:$G$3)</f>
        <v>211508.11025656146</v>
      </c>
      <c r="D30" s="23">
        <f>SUMPRODUCT(Modelo!$B$47:$G$47/(1+D29)^Modelo!$B$3:$G$3)</f>
        <v>155171.39189132728</v>
      </c>
      <c r="E30" s="23">
        <f>SUMPRODUCT(Modelo!$B$47:$G$47/(1+E29)^Modelo!$B$3:$G$3)</f>
        <v>106644.58743624281</v>
      </c>
      <c r="F30" s="23">
        <f>SUMPRODUCT(Modelo!$B$47:$G$47/(1+F29)^Modelo!$B$3:$G$3)</f>
        <v>78013.6316872428</v>
      </c>
      <c r="G30" s="23">
        <f>SUMPRODUCT(Modelo!$B$47:$G$47/(1+G29)^Modelo!$B$3:$G$3)</f>
        <v>17263.795200000022</v>
      </c>
      <c r="H30" s="23">
        <f>SUMPRODUCT(Modelo!$B$47:$G$47/(1+H29)^Modelo!$B$3:$G$3)</f>
        <v>-30994.080146945955</v>
      </c>
    </row>
    <row r="31" spans="1:8" x14ac:dyDescent="0.3">
      <c r="A31" s="6" t="s">
        <v>232</v>
      </c>
    </row>
  </sheetData>
  <mergeCells count="12">
    <mergeCell ref="D5:H5"/>
    <mergeCell ref="D14:H14"/>
    <mergeCell ref="D4:H4"/>
    <mergeCell ref="D9:H9"/>
    <mergeCell ref="D12:H12"/>
    <mergeCell ref="D7:H7"/>
    <mergeCell ref="D8:H8"/>
    <mergeCell ref="D6:H6"/>
    <mergeCell ref="D15:H15"/>
    <mergeCell ref="D10:H10"/>
    <mergeCell ref="D11:H11"/>
    <mergeCell ref="D13:H13"/>
  </mergeCells>
  <conditionalFormatting sqref="B6">
    <cfRule type="cellIs" dxfId="20" priority="1" operator="greaterThan">
      <formula>0</formula>
    </cfRule>
    <cfRule type="cellIs" dxfId="19" priority="2" operator="lessThanOrEqual">
      <formula>0</formula>
    </cfRule>
  </conditionalFormatting>
  <conditionalFormatting sqref="B7">
    <cfRule type="expression" dxfId="18" priority="3">
      <formula>AND(ISNUMBER($B$7),$B$7&gt;$B$5)</formula>
    </cfRule>
    <cfRule type="expression" dxfId="17" priority="4">
      <formula>NOT(AND(ISNUMBER($B$7),$B$7&gt;$B$5))</formula>
    </cfRule>
  </conditionalFormatting>
  <conditionalFormatting sqref="B8">
    <cfRule type="expression" dxfId="16" priority="5">
      <formula>AND(ISNUMBER($B$8),$B$8&gt;1)</formula>
    </cfRule>
    <cfRule type="expression" dxfId="15" priority="6">
      <formula>NOT(AND(ISNUMBER($B$8),$B$8&gt;1))</formula>
    </cfRule>
  </conditionalFormatting>
  <conditionalFormatting sqref="B9">
    <cfRule type="expression" dxfId="14" priority="7">
      <formula>AND(ISNUMBER($B$9),$B$9&gt;1)</formula>
    </cfRule>
    <cfRule type="expression" dxfId="13" priority="8">
      <formula>NOT(AND(ISNUMBER($B$9),$B$9&gt;1))</formula>
    </cfRule>
  </conditionalFormatting>
  <conditionalFormatting sqref="B10">
    <cfRule type="expression" dxfId="12" priority="9">
      <formula>AND(ISNUMBER($B$10),$B$10&gt;1)</formula>
    </cfRule>
    <cfRule type="expression" dxfId="11" priority="10">
      <formula>NOT(AND(ISNUMBER($B$10),$B$10&gt;1))</formula>
    </cfRule>
  </conditionalFormatting>
  <conditionalFormatting sqref="B11">
    <cfRule type="expression" dxfId="10" priority="11">
      <formula>AND(ISNUMBER($B$11),$B$11&lt;5)</formula>
    </cfRule>
    <cfRule type="expression" dxfId="9" priority="12">
      <formula>NOT(AND(ISNUMBER($B$11),$B$11&lt;5))</formula>
    </cfRule>
  </conditionalFormatting>
  <conditionalFormatting sqref="B12">
    <cfRule type="expression" dxfId="8" priority="13">
      <formula>AND(ISNUMBER($B$12),$B$12&lt;5)</formula>
    </cfRule>
    <cfRule type="expression" dxfId="7" priority="14">
      <formula>NOT(AND(ISNUMBER($B$12),$B$12&lt;5))</formula>
    </cfRule>
  </conditionalFormatting>
  <conditionalFormatting sqref="B30:H30">
    <cfRule type="cellIs" dxfId="6" priority="15" operator="lessThan">
      <formula>0</formula>
    </cfRule>
  </conditionalFormatting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8A8A"/>
    <pageSetUpPr fitToPage="1"/>
  </sheetPr>
  <dimension ref="A1:H48"/>
  <sheetViews>
    <sheetView showGridLines="0" workbookViewId="0"/>
  </sheetViews>
  <sheetFormatPr baseColWidth="10" defaultColWidth="8.88671875" defaultRowHeight="14.4" x14ac:dyDescent="0.3"/>
  <cols>
    <col min="1" max="1" width="58" customWidth="1"/>
    <col min="2" max="2" width="16" customWidth="1"/>
    <col min="3" max="8" width="15" customWidth="1"/>
  </cols>
  <sheetData>
    <row r="1" spans="1:8" ht="30" customHeight="1" x14ac:dyDescent="0.3">
      <c r="A1" s="5" t="s">
        <v>233</v>
      </c>
      <c r="B1" s="2"/>
      <c r="C1" s="2"/>
      <c r="D1" s="2"/>
      <c r="E1" s="2"/>
      <c r="F1" s="2"/>
      <c r="G1" s="2"/>
      <c r="H1" s="2"/>
    </row>
    <row r="2" spans="1:8" x14ac:dyDescent="0.3">
      <c r="A2" s="6" t="s">
        <v>234</v>
      </c>
    </row>
    <row r="4" spans="1:8" x14ac:dyDescent="0.3">
      <c r="A4" s="13" t="s">
        <v>61</v>
      </c>
      <c r="B4" s="14" t="s">
        <v>235</v>
      </c>
      <c r="C4" s="14" t="s">
        <v>53</v>
      </c>
      <c r="D4" s="14" t="s">
        <v>54</v>
      </c>
      <c r="E4" s="14" t="s">
        <v>55</v>
      </c>
      <c r="F4" s="14" t="s">
        <v>56</v>
      </c>
      <c r="G4" s="14" t="s">
        <v>57</v>
      </c>
    </row>
    <row r="5" spans="1:8" x14ac:dyDescent="0.3">
      <c r="A5" s="8" t="s">
        <v>236</v>
      </c>
      <c r="B5" s="63" t="s">
        <v>237</v>
      </c>
      <c r="C5" s="67">
        <f>Modelo!C31</f>
        <v>150000</v>
      </c>
      <c r="D5" s="67">
        <f>Modelo!D31</f>
        <v>210000</v>
      </c>
      <c r="E5" s="67">
        <f>Modelo!E31</f>
        <v>300000</v>
      </c>
      <c r="F5" s="67">
        <f>Modelo!F31</f>
        <v>400000</v>
      </c>
      <c r="G5" s="67">
        <f>Modelo!G31</f>
        <v>550000</v>
      </c>
    </row>
    <row r="6" spans="1:8" x14ac:dyDescent="0.3">
      <c r="A6" s="8" t="s">
        <v>238</v>
      </c>
      <c r="B6" s="63" t="s">
        <v>239</v>
      </c>
      <c r="C6" s="70">
        <f>IFERROR(Modelo!C5/Modelo!C8,0)</f>
        <v>0.5</v>
      </c>
      <c r="D6" s="70">
        <f>IFERROR(Modelo!D5/Modelo!D8,0)</f>
        <v>0.4</v>
      </c>
      <c r="E6" s="70">
        <f>IFERROR(Modelo!E5/Modelo!E8,0)</f>
        <v>0.4</v>
      </c>
      <c r="F6" s="70">
        <f>IFERROR(Modelo!F5/Modelo!F8,0)</f>
        <v>0.3888888888888889</v>
      </c>
      <c r="G6" s="70">
        <f>IFERROR(Modelo!G5/Modelo!G8,0)</f>
        <v>0.36666666666666664</v>
      </c>
    </row>
    <row r="7" spans="1:8" x14ac:dyDescent="0.3">
      <c r="A7" s="8" t="s">
        <v>240</v>
      </c>
      <c r="B7" s="63" t="s">
        <v>239</v>
      </c>
      <c r="C7" s="70">
        <f>IFERROR(Modelo!C6/Modelo!C8,0)</f>
        <v>0.5</v>
      </c>
      <c r="D7" s="70">
        <f>IFERROR(Modelo!D6/Modelo!D8,0)</f>
        <v>0.4</v>
      </c>
      <c r="E7" s="70">
        <f>IFERROR(Modelo!E6/Modelo!E8,0)</f>
        <v>0.4</v>
      </c>
      <c r="F7" s="70">
        <f>IFERROR(Modelo!F6/Modelo!F8,0)</f>
        <v>0.3888888888888889</v>
      </c>
      <c r="G7" s="70">
        <f>IFERROR(Modelo!G6/Modelo!G8,0)</f>
        <v>0.43333333333333335</v>
      </c>
    </row>
    <row r="8" spans="1:8" x14ac:dyDescent="0.3">
      <c r="A8" s="8" t="s">
        <v>241</v>
      </c>
      <c r="B8" s="63" t="s">
        <v>239</v>
      </c>
      <c r="C8" s="70">
        <f>IFERROR(Modelo!C7/Modelo!C8,0)</f>
        <v>0</v>
      </c>
      <c r="D8" s="70">
        <f>IFERROR(Modelo!D7/Modelo!D8,0)</f>
        <v>0.2</v>
      </c>
      <c r="E8" s="70">
        <f>IFERROR(Modelo!E7/Modelo!E8,0)</f>
        <v>0.2</v>
      </c>
      <c r="F8" s="70">
        <f>IFERROR(Modelo!F7/Modelo!F8,0)</f>
        <v>0.22222222222222221</v>
      </c>
      <c r="G8" s="70">
        <f>IFERROR(Modelo!G7/Modelo!G8,0)</f>
        <v>0.2</v>
      </c>
    </row>
    <row r="9" spans="1:8" x14ac:dyDescent="0.3">
      <c r="A9" s="8" t="s">
        <v>242</v>
      </c>
      <c r="B9" s="63" t="s">
        <v>237</v>
      </c>
      <c r="C9" s="71">
        <f>C6*Supuestos!$B$18*Supuestos!$C$57*12+C7*Supuestos!$B$19*Supuestos!$C$57*12+C8*Supuestos!$B$20*Supuestos!$C$57*12</f>
        <v>45000</v>
      </c>
      <c r="D9" s="71">
        <f>D6*Supuestos!$B$18*Supuestos!$C$57*12+D7*Supuestos!$B$19*Supuestos!$C$57*12+D8*Supuestos!$B$20*Supuestos!$C$57*12</f>
        <v>57600</v>
      </c>
      <c r="E9" s="71">
        <f>E6*Supuestos!$B$18*Supuestos!$C$57*12+E7*Supuestos!$B$19*Supuestos!$C$57*12+E8*Supuestos!$B$20*Supuestos!$C$57*12</f>
        <v>57600</v>
      </c>
      <c r="F9" s="71">
        <f>F6*Supuestos!$B$18*Supuestos!$C$57*12+F7*Supuestos!$B$19*Supuestos!$C$57*12+F8*Supuestos!$B$20*Supuestos!$C$57*12</f>
        <v>59000</v>
      </c>
      <c r="G9" s="71">
        <f>G6*Supuestos!$B$18*Supuestos!$C$57*12+G7*Supuestos!$B$19*Supuestos!$C$57*12+G8*Supuestos!$B$20*Supuestos!$C$57*12</f>
        <v>58600</v>
      </c>
    </row>
    <row r="10" spans="1:8" x14ac:dyDescent="0.3">
      <c r="A10" s="8" t="s">
        <v>243</v>
      </c>
      <c r="B10" s="63" t="s">
        <v>237</v>
      </c>
      <c r="C10" s="71">
        <f>C6*Supuestos!$B$18*Supuestos!$C$57*12*(1-Supuestos!$D$18*Supuestos!$D$57)+C7*Supuestos!$B$19*Supuestos!$C$57*12*(1-Supuestos!$D$19*Supuestos!$D$57)+C8*Supuestos!$B$20*Supuestos!$C$57*12*(1-Supuestos!$D$20*Supuestos!$D$57)</f>
        <v>39000</v>
      </c>
      <c r="D10" s="71">
        <f>D6*Supuestos!$B$18*Supuestos!$C$57*12*(1-Supuestos!$D$18*Supuestos!$D$57)+D7*Supuestos!$B$19*Supuestos!$C$57*12*(1-Supuestos!$D$19*Supuestos!$D$57)+D8*Supuestos!$B$20*Supuestos!$C$57*12*(1-Supuestos!$D$20*Supuestos!$D$57)</f>
        <v>48048</v>
      </c>
      <c r="E10" s="71">
        <f>E6*Supuestos!$B$18*Supuestos!$C$57*12*(1-Supuestos!$D$18*Supuestos!$D$57)+E7*Supuestos!$B$19*Supuestos!$C$57*12*(1-Supuestos!$D$19*Supuestos!$D$57)+E8*Supuestos!$B$20*Supuestos!$C$57*12*(1-Supuestos!$D$20*Supuestos!$D$57)</f>
        <v>48048</v>
      </c>
      <c r="F10" s="71">
        <f>F6*Supuestos!$B$18*Supuestos!$C$57*12*(1-Supuestos!$D$18*Supuestos!$D$57)+F7*Supuestos!$B$19*Supuestos!$C$57*12*(1-Supuestos!$D$19*Supuestos!$D$57)+F8*Supuestos!$B$20*Supuestos!$C$57*12*(1-Supuestos!$D$20*Supuestos!$D$57)</f>
        <v>49053.333333333336</v>
      </c>
      <c r="G10" s="71">
        <f>G6*Supuestos!$B$18*Supuestos!$C$57*12*(1-Supuestos!$D$18*Supuestos!$D$57)+G7*Supuestos!$B$19*Supuestos!$C$57*12*(1-Supuestos!$D$19*Supuestos!$D$57)+G8*Supuestos!$B$20*Supuestos!$C$57*12*(1-Supuestos!$D$20*Supuestos!$D$57)</f>
        <v>48848</v>
      </c>
    </row>
    <row r="11" spans="1:8" x14ac:dyDescent="0.3">
      <c r="A11" s="8" t="s">
        <v>244</v>
      </c>
      <c r="B11" s="63" t="s">
        <v>237</v>
      </c>
      <c r="C11" s="67">
        <f>Modelo!C36</f>
        <v>44000</v>
      </c>
      <c r="D11" s="67">
        <f>Modelo!D36</f>
        <v>44000</v>
      </c>
      <c r="E11" s="67">
        <f>Modelo!E36</f>
        <v>44000</v>
      </c>
      <c r="F11" s="67">
        <f>Modelo!F36</f>
        <v>44000</v>
      </c>
      <c r="G11" s="67">
        <f>Modelo!G36</f>
        <v>44000</v>
      </c>
    </row>
    <row r="12" spans="1:8" x14ac:dyDescent="0.3">
      <c r="A12" s="8" t="s">
        <v>245</v>
      </c>
      <c r="B12" s="63" t="s">
        <v>246</v>
      </c>
      <c r="C12" s="72">
        <f>IFERROR(C5/C10,0)</f>
        <v>3.8461538461538463</v>
      </c>
      <c r="D12" s="72">
        <f>IFERROR(D5/D10,0)</f>
        <v>4.3706293706293708</v>
      </c>
      <c r="E12" s="72">
        <f>IFERROR(E5/E10,0)</f>
        <v>6.2437562437562439</v>
      </c>
      <c r="F12" s="72">
        <f>IFERROR(F5/F10,0)</f>
        <v>8.1543897798314759</v>
      </c>
      <c r="G12" s="72">
        <f>IFERROR(G5/G10,0)</f>
        <v>11.259416966917787</v>
      </c>
    </row>
    <row r="13" spans="1:8" x14ac:dyDescent="0.3">
      <c r="A13" s="8" t="s">
        <v>247</v>
      </c>
      <c r="B13" s="63" t="s">
        <v>246</v>
      </c>
      <c r="C13" s="72">
        <f>IFERROR((C5+C11)/(C10-Supuestos!$B$8*C9),0)</f>
        <v>5.0324254215304798</v>
      </c>
      <c r="D13" s="72">
        <f>IFERROR((D5+D11)/(D10-Supuestos!$B$8*D9),0)</f>
        <v>5.3505224132119986</v>
      </c>
      <c r="E13" s="72">
        <f>IFERROR((E5+E11)/(E10-Supuestos!$B$8*E9),0)</f>
        <v>7.2463768115942031</v>
      </c>
      <c r="F13" s="72">
        <f>IFERROR((F5+F11)/(F10-Supuestos!$B$8*F9),0)</f>
        <v>9.1615654446660706</v>
      </c>
      <c r="G13" s="72">
        <f>IFERROR((G5+G11)/(G10-Supuestos!$B$8*G9),0)</f>
        <v>12.307819816833119</v>
      </c>
    </row>
    <row r="14" spans="1:8" x14ac:dyDescent="0.3">
      <c r="A14" s="8" t="s">
        <v>248</v>
      </c>
      <c r="B14" s="63" t="s">
        <v>246</v>
      </c>
      <c r="C14" s="72">
        <f>IFERROR(C13/(1-Supuestos!$B$10),0)</f>
        <v>6.2905317769130997</v>
      </c>
      <c r="D14" s="72">
        <f>IFERROR(D13/(1-Supuestos!$B$10),0)</f>
        <v>6.6881530165149981</v>
      </c>
      <c r="E14" s="72">
        <f>IFERROR(E13/(1-Supuestos!$B$10),0)</f>
        <v>9.0579710144927539</v>
      </c>
      <c r="F14" s="72">
        <f>IFERROR(F13/(1-Supuestos!$B$10),0)</f>
        <v>11.451956805832587</v>
      </c>
      <c r="G14" s="72">
        <f>IFERROR(G13/(1-Supuestos!$B$10),0)</f>
        <v>15.384774771041398</v>
      </c>
    </row>
    <row r="15" spans="1:8" x14ac:dyDescent="0.3">
      <c r="A15" s="8" t="s">
        <v>249</v>
      </c>
      <c r="B15" s="63" t="s">
        <v>246</v>
      </c>
      <c r="C15" s="73">
        <f t="shared" ref="C15:G17" si="0">ROUNDUP(C12,0)</f>
        <v>4</v>
      </c>
      <c r="D15" s="73">
        <f t="shared" si="0"/>
        <v>5</v>
      </c>
      <c r="E15" s="73">
        <f t="shared" si="0"/>
        <v>7</v>
      </c>
      <c r="F15" s="73">
        <f t="shared" si="0"/>
        <v>9</v>
      </c>
      <c r="G15" s="73">
        <f t="shared" si="0"/>
        <v>12</v>
      </c>
    </row>
    <row r="16" spans="1:8" x14ac:dyDescent="0.3">
      <c r="A16" s="8" t="s">
        <v>250</v>
      </c>
      <c r="B16" s="63" t="s">
        <v>246</v>
      </c>
      <c r="C16" s="73">
        <f t="shared" si="0"/>
        <v>6</v>
      </c>
      <c r="D16" s="73">
        <f t="shared" si="0"/>
        <v>6</v>
      </c>
      <c r="E16" s="73">
        <f t="shared" si="0"/>
        <v>8</v>
      </c>
      <c r="F16" s="73">
        <f t="shared" si="0"/>
        <v>10</v>
      </c>
      <c r="G16" s="73">
        <f t="shared" si="0"/>
        <v>13</v>
      </c>
    </row>
    <row r="17" spans="1:8" x14ac:dyDescent="0.3">
      <c r="A17" s="30" t="s">
        <v>251</v>
      </c>
      <c r="B17" s="63" t="s">
        <v>246</v>
      </c>
      <c r="C17" s="74">
        <f t="shared" si="0"/>
        <v>7</v>
      </c>
      <c r="D17" s="74">
        <f t="shared" si="0"/>
        <v>7</v>
      </c>
      <c r="E17" s="74">
        <f t="shared" si="0"/>
        <v>10</v>
      </c>
      <c r="F17" s="74">
        <f t="shared" si="0"/>
        <v>12</v>
      </c>
      <c r="G17" s="74">
        <f t="shared" si="0"/>
        <v>16</v>
      </c>
    </row>
    <row r="18" spans="1:8" x14ac:dyDescent="0.3">
      <c r="A18" s="8" t="s">
        <v>252</v>
      </c>
      <c r="B18" s="63" t="s">
        <v>246</v>
      </c>
      <c r="C18" s="75">
        <f>Modelo!C8</f>
        <v>2</v>
      </c>
      <c r="D18" s="75">
        <f>Modelo!D8</f>
        <v>5</v>
      </c>
      <c r="E18" s="75">
        <f>Modelo!E8</f>
        <v>10</v>
      </c>
      <c r="F18" s="75">
        <f>Modelo!F8</f>
        <v>18</v>
      </c>
      <c r="G18" s="75">
        <f>Modelo!G8</f>
        <v>30</v>
      </c>
    </row>
    <row r="19" spans="1:8" x14ac:dyDescent="0.3">
      <c r="A19" s="8" t="s">
        <v>253</v>
      </c>
      <c r="B19" s="63" t="s">
        <v>239</v>
      </c>
      <c r="C19" s="70">
        <f>IFERROR(C18/C17-1,0)</f>
        <v>-0.7142857142857143</v>
      </c>
      <c r="D19" s="70">
        <f>IFERROR(D18/D17-1,0)</f>
        <v>-0.2857142857142857</v>
      </c>
      <c r="E19" s="70">
        <f>IFERROR(E18/E17-1,0)</f>
        <v>0</v>
      </c>
      <c r="F19" s="70">
        <f>IFERROR(F18/F17-1,0)</f>
        <v>0.5</v>
      </c>
      <c r="G19" s="70">
        <f>IFERROR(G18/G17-1,0)</f>
        <v>0.875</v>
      </c>
    </row>
    <row r="20" spans="1:8" ht="25.95" customHeight="1" x14ac:dyDescent="0.3">
      <c r="A20" s="15" t="s">
        <v>254</v>
      </c>
      <c r="B20" s="63"/>
      <c r="C20" s="76" t="str">
        <f>IF(C18&gt;=C17,"Estable",IF(C18&gt;=C16,"Sin colchón",IF(C18&gt;=C15,"Equilibrio operativo","Bajo equilibrio")))</f>
        <v>Bajo equilibrio</v>
      </c>
      <c r="D20" s="76" t="str">
        <f>IF(D18&gt;=D17,"Estable",IF(D18&gt;=D16,"Sin colchón",IF(D18&gt;=D15,"Equilibrio operativo","Bajo equilibrio")))</f>
        <v>Equilibrio operativo</v>
      </c>
      <c r="E20" s="76" t="str">
        <f>IF(E18&gt;=E17,"Estable",IF(E18&gt;=E16,"Sin colchón",IF(E18&gt;=E15,"Equilibrio operativo","Bajo equilibrio")))</f>
        <v>Estable</v>
      </c>
      <c r="F20" s="76" t="str">
        <f>IF(F18&gt;=F17,"Estable",IF(F18&gt;=F16,"Sin colchón",IF(F18&gt;=F15,"Equilibrio operativo","Bajo equilibrio")))</f>
        <v>Estable</v>
      </c>
      <c r="G20" s="76" t="str">
        <f>IF(G18&gt;=G17,"Estable",IF(G18&gt;=G16,"Sin colchón",IF(G18&gt;=G15,"Equilibrio operativo","Bajo equilibrio")))</f>
        <v>Estable</v>
      </c>
    </row>
    <row r="21" spans="1:8" x14ac:dyDescent="0.3">
      <c r="A21" s="8" t="s">
        <v>255</v>
      </c>
      <c r="B21" s="63" t="s">
        <v>237</v>
      </c>
      <c r="C21" s="71">
        <f>C17*C9/12</f>
        <v>26250</v>
      </c>
      <c r="D21" s="71">
        <f>D17*D9/12</f>
        <v>33600</v>
      </c>
      <c r="E21" s="71">
        <f>E17*E9/12</f>
        <v>48000</v>
      </c>
      <c r="F21" s="71">
        <f>F17*F9/12</f>
        <v>59000</v>
      </c>
      <c r="G21" s="71">
        <f>G17*G9/12</f>
        <v>78133.333333333328</v>
      </c>
    </row>
    <row r="24" spans="1:8" x14ac:dyDescent="0.3">
      <c r="A24" s="7" t="s">
        <v>256</v>
      </c>
      <c r="B24" s="7"/>
      <c r="C24" s="7"/>
      <c r="D24" s="7"/>
      <c r="E24" s="7"/>
      <c r="F24" s="7"/>
      <c r="G24" s="7"/>
      <c r="H24" s="7"/>
    </row>
    <row r="25" spans="1:8" x14ac:dyDescent="0.3">
      <c r="A25" s="8" t="s">
        <v>257</v>
      </c>
      <c r="B25" s="77">
        <v>3</v>
      </c>
    </row>
    <row r="26" spans="1:8" x14ac:dyDescent="0.3">
      <c r="A26" s="8" t="s">
        <v>258</v>
      </c>
      <c r="B26" s="23">
        <f>INDEX(C5:G5,B25)</f>
        <v>300000</v>
      </c>
    </row>
    <row r="27" spans="1:8" x14ac:dyDescent="0.3">
      <c r="A27" s="8" t="s">
        <v>259</v>
      </c>
      <c r="B27" s="23">
        <f>INDEX(C11:G11,B25)</f>
        <v>44000</v>
      </c>
    </row>
    <row r="28" spans="1:8" ht="42" customHeight="1" x14ac:dyDescent="0.3">
      <c r="A28" s="13" t="s">
        <v>260</v>
      </c>
      <c r="B28" s="14" t="s">
        <v>261</v>
      </c>
      <c r="C28" s="14" t="s">
        <v>262</v>
      </c>
      <c r="D28" s="14" t="s">
        <v>263</v>
      </c>
      <c r="E28" s="14" t="s">
        <v>264</v>
      </c>
    </row>
    <row r="29" spans="1:8" x14ac:dyDescent="0.3">
      <c r="A29" s="8" t="s">
        <v>48</v>
      </c>
      <c r="B29" s="23">
        <f>Supuestos!$B$18*Supuestos!$C$57*12*(1-Supuestos!$D$18*Supuestos!$D$57)</f>
        <v>27000</v>
      </c>
      <c r="C29" s="78">
        <f>ROUNDUP($B$26/B29,0)</f>
        <v>12</v>
      </c>
      <c r="D29" s="78">
        <f>ROUNDUP(($B$26+$B$27)/(B29-Supuestos!$B$8*Supuestos!$B$18*Supuestos!$C$57*12),0)</f>
        <v>13</v>
      </c>
      <c r="E29" s="79">
        <f>ROUNDUP(($B$26+$B$27)/(B29-Supuestos!$B$8*Supuestos!$B$18*Supuestos!$C$57*12)/(1-Supuestos!$B$10),0)</f>
        <v>17</v>
      </c>
    </row>
    <row r="30" spans="1:8" x14ac:dyDescent="0.3">
      <c r="A30" s="8" t="s">
        <v>49</v>
      </c>
      <c r="B30" s="23">
        <f>Supuestos!$B$19*Supuestos!$C$57*12*(1-Supuestos!$D$19*Supuestos!$D$57)</f>
        <v>51000</v>
      </c>
      <c r="C30" s="78">
        <f>ROUNDUP($B$26/B30,0)</f>
        <v>6</v>
      </c>
      <c r="D30" s="78">
        <f>ROUNDUP(($B$26+$B$27)/(B30-Supuestos!$B$8*Supuestos!$B$19*Supuestos!$C$57*12),0)</f>
        <v>7</v>
      </c>
      <c r="E30" s="79">
        <f>ROUNDUP(($B$26+$B$27)/(B30-Supuestos!$B$8*Supuestos!$B$19*Supuestos!$C$57*12)/(1-Supuestos!$B$10),0)</f>
        <v>9</v>
      </c>
    </row>
    <row r="31" spans="1:8" x14ac:dyDescent="0.3">
      <c r="A31" s="8" t="s">
        <v>50</v>
      </c>
      <c r="B31" s="23">
        <f>Supuestos!$B$20*Supuestos!$C$57*12*(1-Supuestos!$D$20*Supuestos!$D$57)</f>
        <v>84240</v>
      </c>
      <c r="C31" s="78">
        <f>ROUNDUP($B$26/B31,0)</f>
        <v>4</v>
      </c>
      <c r="D31" s="78">
        <f>ROUNDUP(($B$26+$B$27)/(B31-Supuestos!$B$8*Supuestos!$B$20*Supuestos!$C$57*12),0)</f>
        <v>5</v>
      </c>
      <c r="E31" s="79">
        <f>ROUNDUP(($B$26+$B$27)/(B31-Supuestos!$B$8*Supuestos!$B$20*Supuestos!$C$57*12)/(1-Supuestos!$B$10),0)</f>
        <v>6</v>
      </c>
    </row>
    <row r="32" spans="1:8" x14ac:dyDescent="0.3">
      <c r="A32" s="15" t="s">
        <v>265</v>
      </c>
      <c r="B32" s="80">
        <f>INDEX(C10:G10,B25)</f>
        <v>48048</v>
      </c>
      <c r="C32" s="81">
        <f>ROUNDUP($B$26/B32,0)</f>
        <v>7</v>
      </c>
      <c r="D32" s="81">
        <f>ROUNDUP(($B$26+$B$27)/(B32-Supuestos!$B$8*INDEX(C9:G9,B25)),0)</f>
        <v>8</v>
      </c>
      <c r="E32" s="79">
        <f>ROUNDUP(($B$26+$B$27)/(B32-Supuestos!$B$8*INDEX(C9:G9,B25))/(1-Supuestos!$B$10),0)</f>
        <v>10</v>
      </c>
    </row>
    <row r="33" spans="1:8" x14ac:dyDescent="0.3">
      <c r="A33" s="6" t="str">
        <f>" Un Premium aporta lo mismo que "&amp;TEXT(B31/B29,"0.0")&amp;" Esenciales o "&amp;TEXT(B31/B30,"0.0")&amp;" Profesionales."</f>
        <v xml:space="preserve"> Un Premium aporta lo mismo que 3.1 Esenciales o 1.7 Profesionales.</v>
      </c>
    </row>
    <row r="36" spans="1:8" x14ac:dyDescent="0.3">
      <c r="A36" s="7" t="s">
        <v>266</v>
      </c>
      <c r="B36" s="7"/>
      <c r="C36" s="7"/>
      <c r="D36" s="7"/>
      <c r="E36" s="7"/>
      <c r="F36" s="7"/>
      <c r="G36" s="7"/>
      <c r="H36" s="7"/>
    </row>
    <row r="37" spans="1:8" x14ac:dyDescent="0.3">
      <c r="A37" s="13" t="s">
        <v>61</v>
      </c>
      <c r="B37" s="14" t="s">
        <v>235</v>
      </c>
      <c r="C37" s="14" t="s">
        <v>53</v>
      </c>
      <c r="D37" s="14" t="s">
        <v>54</v>
      </c>
      <c r="E37" s="14" t="s">
        <v>55</v>
      </c>
      <c r="F37" s="14" t="s">
        <v>56</v>
      </c>
      <c r="G37" s="14" t="s">
        <v>57</v>
      </c>
    </row>
    <row r="38" spans="1:8" x14ac:dyDescent="0.3">
      <c r="A38" s="8" t="s">
        <v>267</v>
      </c>
      <c r="B38" s="63" t="s">
        <v>237</v>
      </c>
      <c r="C38" s="71">
        <f>Supuestos!$B$13*C5</f>
        <v>37500</v>
      </c>
      <c r="D38" s="71">
        <f>Supuestos!$B$13*D5</f>
        <v>52500</v>
      </c>
      <c r="E38" s="71">
        <f>Supuestos!$B$13*E5</f>
        <v>75000</v>
      </c>
      <c r="F38" s="71">
        <f>Supuestos!$B$13*F5</f>
        <v>100000</v>
      </c>
      <c r="G38" s="71">
        <f>Supuestos!$B$13*G5</f>
        <v>137500</v>
      </c>
    </row>
    <row r="39" spans="1:8" x14ac:dyDescent="0.3">
      <c r="A39" s="8" t="s">
        <v>268</v>
      </c>
      <c r="B39" s="63" t="s">
        <v>237</v>
      </c>
      <c r="C39" s="71">
        <f>Supuestos!$B$46</f>
        <v>60000</v>
      </c>
      <c r="D39" s="71">
        <f>0</f>
        <v>0</v>
      </c>
      <c r="E39" s="71">
        <f>0</f>
        <v>0</v>
      </c>
      <c r="F39" s="71">
        <f>0</f>
        <v>0</v>
      </c>
      <c r="G39" s="71">
        <f>0</f>
        <v>0</v>
      </c>
    </row>
    <row r="40" spans="1:8" x14ac:dyDescent="0.3">
      <c r="A40" s="8" t="s">
        <v>269</v>
      </c>
      <c r="B40" s="63" t="s">
        <v>246</v>
      </c>
      <c r="C40" s="82">
        <f>Modelo!C19</f>
        <v>2</v>
      </c>
      <c r="D40" s="82">
        <f>Modelo!D19</f>
        <v>3.2</v>
      </c>
      <c r="E40" s="82">
        <f>Modelo!E19</f>
        <v>5.45</v>
      </c>
      <c r="F40" s="82">
        <f>Modelo!F19</f>
        <v>8.9</v>
      </c>
      <c r="G40" s="82">
        <f>Modelo!G19</f>
        <v>13.6</v>
      </c>
    </row>
    <row r="41" spans="1:8" x14ac:dyDescent="0.3">
      <c r="A41" s="15" t="s">
        <v>270</v>
      </c>
      <c r="B41" s="63" t="s">
        <v>237</v>
      </c>
      <c r="C41" s="83">
        <f>IFERROR((C38+C39)/C40,0)</f>
        <v>48750</v>
      </c>
      <c r="D41" s="83">
        <f>IFERROR((D38+D39)/D40,0)</f>
        <v>16406.25</v>
      </c>
      <c r="E41" s="83">
        <f>IFERROR((E38+E39)/E40,0)</f>
        <v>13761.467889908256</v>
      </c>
      <c r="F41" s="83">
        <f>IFERROR((F38+F39)/F40,0)</f>
        <v>11235.955056179775</v>
      </c>
      <c r="G41" s="83">
        <f>IFERROR((G38+G39)/G40,0)</f>
        <v>10110.294117647059</v>
      </c>
    </row>
    <row r="42" spans="1:8" x14ac:dyDescent="0.3">
      <c r="A42" s="15" t="s">
        <v>271</v>
      </c>
      <c r="B42" s="80">
        <f>IFERROR(SUM(E38:G38)/SUM(E40:G40),0)</f>
        <v>11180.679785330947</v>
      </c>
    </row>
    <row r="44" spans="1:8" ht="42" customHeight="1" x14ac:dyDescent="0.3">
      <c r="A44" s="13" t="s">
        <v>40</v>
      </c>
      <c r="B44" s="14" t="s">
        <v>261</v>
      </c>
      <c r="C44" s="14" t="s">
        <v>272</v>
      </c>
      <c r="D44" s="14" t="s">
        <v>273</v>
      </c>
      <c r="E44" s="14" t="s">
        <v>274</v>
      </c>
      <c r="F44" s="14" t="s">
        <v>275</v>
      </c>
      <c r="G44" s="14" t="s">
        <v>276</v>
      </c>
    </row>
    <row r="45" spans="1:8" x14ac:dyDescent="0.3">
      <c r="A45" s="8" t="s">
        <v>48</v>
      </c>
      <c r="B45" s="23">
        <f>B29</f>
        <v>27000</v>
      </c>
      <c r="C45" s="84">
        <f>IFERROR((1-(1-Supuestos!$E$18)^5)/Supuestos!$E$18,5)</f>
        <v>3.9355673600000003</v>
      </c>
      <c r="D45" s="23">
        <f>B45*C45+Supuestos!$C$18*Supuestos!$C$57*(1-Supuestos!$B$9)</f>
        <v>109760.31872000001</v>
      </c>
      <c r="E45" s="23">
        <f>$B$42</f>
        <v>11180.679785330947</v>
      </c>
      <c r="F45" s="85">
        <f>IFERROR(D45/E45,0)</f>
        <v>9.8169629063168014</v>
      </c>
      <c r="G45" s="86">
        <f>IFERROR(E45/(B45/12),0)</f>
        <v>4.9691910157026431</v>
      </c>
    </row>
    <row r="46" spans="1:8" x14ac:dyDescent="0.3">
      <c r="A46" s="8" t="s">
        <v>49</v>
      </c>
      <c r="B46" s="23">
        <f>B30</f>
        <v>51000</v>
      </c>
      <c r="C46" s="84">
        <f>IFERROR((1-(1-Supuestos!$E$19)^5)/Supuestos!$E$19,5)</f>
        <v>4.2614809599999983</v>
      </c>
      <c r="D46" s="23">
        <f>B46*C46+Supuestos!$C$19*Supuestos!$C$57*(1-Supuestos!$B$9)</f>
        <v>224335.52895999991</v>
      </c>
      <c r="E46" s="23">
        <f>$B$42</f>
        <v>11180.679785330947</v>
      </c>
      <c r="F46" s="85">
        <f>IFERROR(D46/E46,0)</f>
        <v>20.064569710182393</v>
      </c>
      <c r="G46" s="86">
        <f>IFERROR(E46/(B46/12),0)</f>
        <v>2.6307481847837524</v>
      </c>
    </row>
    <row r="47" spans="1:8" x14ac:dyDescent="0.3">
      <c r="A47" s="8" t="s">
        <v>50</v>
      </c>
      <c r="B47" s="23">
        <f>B31</f>
        <v>84240</v>
      </c>
      <c r="C47" s="84">
        <f>IFERROR((1-(1-Supuestos!$E$20)^5)/Supuestos!$E$20,5)</f>
        <v>4.5243812500000002</v>
      </c>
      <c r="D47" s="23">
        <f>B47*C47+Supuestos!$C$20*Supuestos!$C$57*(1-Supuestos!$B$9)</f>
        <v>395133.87650000001</v>
      </c>
      <c r="E47" s="23">
        <f>$B$42</f>
        <v>11180.679785330947</v>
      </c>
      <c r="F47" s="85">
        <f>IFERROR(D47/E47,0)</f>
        <v>35.340773914160003</v>
      </c>
      <c r="G47" s="86">
        <f>IFERROR(E47/(B47/12),0)</f>
        <v>1.5926894281098216</v>
      </c>
    </row>
    <row r="48" spans="1:8" x14ac:dyDescent="0.3">
      <c r="A48" s="6" t="s">
        <v>277</v>
      </c>
    </row>
  </sheetData>
  <conditionalFormatting sqref="C20:G20">
    <cfRule type="cellIs" dxfId="5" priority="1" operator="equal">
      <formula>"Estable"</formula>
    </cfRule>
    <cfRule type="cellIs" dxfId="4" priority="2" operator="equal">
      <formula>"Bajo equilibrio"</formula>
    </cfRule>
    <cfRule type="cellIs" dxfId="3" priority="3" operator="equal">
      <formula>"Sin colchón"</formula>
    </cfRule>
    <cfRule type="cellIs" dxfId="2" priority="4" operator="equal">
      <formula>"Equilibrio operativo"</formula>
    </cfRule>
  </conditionalFormatting>
  <dataValidations count="1">
    <dataValidation type="list" sqref="B25" xr:uid="{00000000-0002-0000-0500-000000000000}">
      <formula1>"1,2,3,4,5"</formula1>
    </dataValidation>
  </dataValidations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8A8A"/>
    <pageSetUpPr fitToPage="1"/>
  </sheetPr>
  <dimension ref="A1:E17"/>
  <sheetViews>
    <sheetView showGridLines="0" workbookViewId="0"/>
  </sheetViews>
  <sheetFormatPr baseColWidth="10" defaultColWidth="8.88671875" defaultRowHeight="14.4" x14ac:dyDescent="0.3"/>
  <cols>
    <col min="1" max="1" width="52" customWidth="1"/>
    <col min="2" max="5" width="18" customWidth="1"/>
  </cols>
  <sheetData>
    <row r="1" spans="1:5" ht="30" customHeight="1" x14ac:dyDescent="0.3">
      <c r="A1" s="5" t="s">
        <v>278</v>
      </c>
      <c r="B1" s="2"/>
      <c r="C1" s="2"/>
      <c r="D1" s="2"/>
      <c r="E1" s="2"/>
    </row>
    <row r="2" spans="1:5" x14ac:dyDescent="0.3">
      <c r="A2" s="6" t="s">
        <v>279</v>
      </c>
    </row>
    <row r="4" spans="1:5" x14ac:dyDescent="0.3">
      <c r="A4" s="13" t="s">
        <v>61</v>
      </c>
      <c r="B4" s="14" t="s">
        <v>91</v>
      </c>
      <c r="C4" s="14" t="s">
        <v>2</v>
      </c>
      <c r="D4" s="14" t="s">
        <v>93</v>
      </c>
    </row>
    <row r="5" spans="1:5" x14ac:dyDescent="0.3">
      <c r="A5" s="8" t="s">
        <v>87</v>
      </c>
      <c r="B5" s="87">
        <f>Supuestos!B54</f>
        <v>0.6</v>
      </c>
      <c r="C5" s="87">
        <f>Supuestos!B55</f>
        <v>1</v>
      </c>
      <c r="D5" s="87">
        <f>Supuestos!B56</f>
        <v>1.3</v>
      </c>
    </row>
    <row r="6" spans="1:5" x14ac:dyDescent="0.3">
      <c r="A6" s="8" t="s">
        <v>88</v>
      </c>
      <c r="B6" s="87">
        <f>Supuestos!C54</f>
        <v>0.9</v>
      </c>
      <c r="C6" s="87">
        <f>Supuestos!C55</f>
        <v>1</v>
      </c>
      <c r="D6" s="87">
        <f>Supuestos!C56</f>
        <v>1.05</v>
      </c>
    </row>
    <row r="7" spans="1:5" x14ac:dyDescent="0.3">
      <c r="A7" s="8" t="s">
        <v>89</v>
      </c>
      <c r="B7" s="87">
        <f>Supuestos!D54</f>
        <v>1.2</v>
      </c>
      <c r="C7" s="87">
        <f>Supuestos!D55</f>
        <v>1</v>
      </c>
      <c r="D7" s="87">
        <f>Supuestos!D56</f>
        <v>0.95</v>
      </c>
    </row>
    <row r="8" spans="1:5" x14ac:dyDescent="0.3">
      <c r="A8" s="8" t="s">
        <v>280</v>
      </c>
      <c r="B8" s="88">
        <f>Calc_Esc!G8</f>
        <v>18</v>
      </c>
      <c r="C8" s="88">
        <f>Calc_Esc!G75</f>
        <v>30</v>
      </c>
      <c r="D8" s="88">
        <f>Calc_Esc!G142</f>
        <v>39</v>
      </c>
    </row>
    <row r="9" spans="1:5" x14ac:dyDescent="0.3">
      <c r="A9" s="8" t="s">
        <v>281</v>
      </c>
      <c r="B9" s="89">
        <f>Calc_Esc!G26</f>
        <v>826200</v>
      </c>
      <c r="C9" s="89">
        <f>Calc_Esc!G93</f>
        <v>1530000</v>
      </c>
      <c r="D9" s="89">
        <f>Calc_Esc!G160</f>
        <v>2088450</v>
      </c>
    </row>
    <row r="10" spans="1:5" x14ac:dyDescent="0.3">
      <c r="A10" s="8" t="s">
        <v>282</v>
      </c>
      <c r="B10" s="89">
        <f>Calc_Esc!G34</f>
        <v>103961.59999999998</v>
      </c>
      <c r="C10" s="89">
        <f>Calc_Esc!G101</f>
        <v>708200</v>
      </c>
      <c r="D10" s="89">
        <f>Calc_Esc!G168</f>
        <v>1183536.3500000001</v>
      </c>
    </row>
    <row r="11" spans="1:5" x14ac:dyDescent="0.3">
      <c r="A11" s="15" t="s">
        <v>4</v>
      </c>
      <c r="B11" s="64">
        <f>Calc_Esc!B56</f>
        <v>-442424.09349408507</v>
      </c>
      <c r="C11" s="64">
        <f>Calc_Esc!B123</f>
        <v>155171.39189132728</v>
      </c>
      <c r="D11" s="64">
        <f>Calc_Esc!B190</f>
        <v>558885.50997422007</v>
      </c>
    </row>
    <row r="12" spans="1:5" x14ac:dyDescent="0.3">
      <c r="A12" s="15" t="s">
        <v>5</v>
      </c>
      <c r="B12" s="62">
        <f>Calc_Esc!B57</f>
        <v>-0.41820137526712109</v>
      </c>
      <c r="C12" s="62">
        <f>Calc_Esc!B124</f>
        <v>0.26661660915823648</v>
      </c>
      <c r="D12" s="62">
        <f>Calc_Esc!B191</f>
        <v>0.5107954046640768</v>
      </c>
    </row>
    <row r="13" spans="1:5" x14ac:dyDescent="0.3">
      <c r="A13" s="15" t="s">
        <v>197</v>
      </c>
      <c r="B13" s="65" t="str">
        <f>Calc_Esc!B58</f>
        <v>No se recupera</v>
      </c>
      <c r="C13" s="65">
        <f>Calc_Esc!B125</f>
        <v>3.8607485636478365</v>
      </c>
      <c r="D13" s="65">
        <f>Calc_Esc!B192</f>
        <v>3.0906868579490867</v>
      </c>
    </row>
    <row r="14" spans="1:5" x14ac:dyDescent="0.3">
      <c r="A14" s="8" t="s">
        <v>283</v>
      </c>
      <c r="B14" s="90">
        <f>Calc_Esc!B60</f>
        <v>0.68910674481045253</v>
      </c>
      <c r="C14" s="90">
        <f>Calc_Esc!B127</f>
        <v>1.0934290783200356</v>
      </c>
      <c r="D14" s="90">
        <f>Calc_Esc!B194</f>
        <v>1.2910893244968962</v>
      </c>
    </row>
    <row r="15" spans="1:5" x14ac:dyDescent="0.3">
      <c r="A15" s="8" t="s">
        <v>203</v>
      </c>
      <c r="B15" s="89">
        <f>Calc_Esc!B64</f>
        <v>575818.39999999991</v>
      </c>
      <c r="C15" s="89">
        <f>Calc_Esc!B131</f>
        <v>349720</v>
      </c>
      <c r="D15" s="89">
        <f>Calc_Esc!B198</f>
        <v>302842</v>
      </c>
    </row>
    <row r="17" spans="1:1" x14ac:dyDescent="0.3">
      <c r="A17" s="6" t="s">
        <v>284</v>
      </c>
    </row>
  </sheetData>
  <conditionalFormatting sqref="B11:D11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0A8B3"/>
    <pageSetUpPr fitToPage="1"/>
  </sheetPr>
  <dimension ref="A1:H199"/>
  <sheetViews>
    <sheetView showGridLines="0" workbookViewId="0"/>
  </sheetViews>
  <sheetFormatPr baseColWidth="10" defaultColWidth="8.88671875" defaultRowHeight="14.4" x14ac:dyDescent="0.3"/>
  <cols>
    <col min="1" max="1" width="52" customWidth="1"/>
    <col min="2" max="8" width="14.44140625" customWidth="1"/>
  </cols>
  <sheetData>
    <row r="1" spans="1:8" ht="16.8" x14ac:dyDescent="0.3">
      <c r="A1" s="37" t="s">
        <v>285</v>
      </c>
    </row>
    <row r="2" spans="1:8" x14ac:dyDescent="0.3">
      <c r="A2" s="13" t="s">
        <v>144</v>
      </c>
      <c r="B2" s="14" t="s">
        <v>145</v>
      </c>
      <c r="C2" s="14" t="s">
        <v>53</v>
      </c>
      <c r="D2" s="14" t="s">
        <v>54</v>
      </c>
      <c r="E2" s="14" t="s">
        <v>55</v>
      </c>
      <c r="F2" s="14" t="s">
        <v>56</v>
      </c>
      <c r="G2" s="14" t="s">
        <v>57</v>
      </c>
      <c r="H2" s="14" t="s">
        <v>146</v>
      </c>
    </row>
    <row r="3" spans="1:8" x14ac:dyDescent="0.3">
      <c r="A3" s="6" t="s">
        <v>147</v>
      </c>
      <c r="B3" s="40">
        <v>0</v>
      </c>
      <c r="C3" s="40">
        <v>1</v>
      </c>
      <c r="D3" s="40">
        <v>2</v>
      </c>
      <c r="E3" s="40">
        <v>3</v>
      </c>
      <c r="F3" s="40">
        <v>4</v>
      </c>
      <c r="G3" s="40">
        <v>5</v>
      </c>
    </row>
    <row r="4" spans="1:8" x14ac:dyDescent="0.3">
      <c r="A4" s="41" t="s">
        <v>148</v>
      </c>
      <c r="B4" s="41"/>
      <c r="C4" s="41"/>
      <c r="D4" s="41"/>
      <c r="E4" s="41"/>
      <c r="F4" s="41"/>
      <c r="G4" s="41"/>
      <c r="H4" s="41"/>
    </row>
    <row r="5" spans="1:8" x14ac:dyDescent="0.3">
      <c r="A5" s="8" t="s">
        <v>149</v>
      </c>
      <c r="B5" s="42">
        <v>0</v>
      </c>
      <c r="C5" s="43">
        <f>Supuestos!B25*Supuestos!$B$54</f>
        <v>0.6</v>
      </c>
      <c r="D5" s="43">
        <f>Supuestos!C25*Supuestos!$B$54</f>
        <v>1.2</v>
      </c>
      <c r="E5" s="43">
        <f>Supuestos!D25*Supuestos!$B$54</f>
        <v>2.4</v>
      </c>
      <c r="F5" s="43">
        <f>Supuestos!E25*Supuestos!$B$54</f>
        <v>4.2</v>
      </c>
      <c r="G5" s="43">
        <f>Supuestos!F25*Supuestos!$B$54</f>
        <v>6.6</v>
      </c>
      <c r="H5" s="42"/>
    </row>
    <row r="6" spans="1:8" x14ac:dyDescent="0.3">
      <c r="A6" s="8" t="s">
        <v>150</v>
      </c>
      <c r="B6" s="42">
        <v>0</v>
      </c>
      <c r="C6" s="43">
        <f>Supuestos!B26*Supuestos!$B$54</f>
        <v>0.6</v>
      </c>
      <c r="D6" s="43">
        <f>Supuestos!C26*Supuestos!$B$54</f>
        <v>1.2</v>
      </c>
      <c r="E6" s="43">
        <f>Supuestos!D26*Supuestos!$B$54</f>
        <v>2.4</v>
      </c>
      <c r="F6" s="43">
        <f>Supuestos!E26*Supuestos!$B$54</f>
        <v>4.2</v>
      </c>
      <c r="G6" s="43">
        <f>Supuestos!F26*Supuestos!$B$54</f>
        <v>7.8</v>
      </c>
      <c r="H6" s="42"/>
    </row>
    <row r="7" spans="1:8" x14ac:dyDescent="0.3">
      <c r="A7" s="8" t="s">
        <v>151</v>
      </c>
      <c r="B7" s="42">
        <v>0</v>
      </c>
      <c r="C7" s="43">
        <f>Supuestos!B27*Supuestos!$B$54</f>
        <v>0</v>
      </c>
      <c r="D7" s="43">
        <f>Supuestos!C27*Supuestos!$B$54</f>
        <v>0.6</v>
      </c>
      <c r="E7" s="43">
        <f>Supuestos!D27*Supuestos!$B$54</f>
        <v>1.2</v>
      </c>
      <c r="F7" s="43">
        <f>Supuestos!E27*Supuestos!$B$54</f>
        <v>2.4</v>
      </c>
      <c r="G7" s="43">
        <f>Supuestos!F27*Supuestos!$B$54</f>
        <v>3.5999999999999996</v>
      </c>
      <c r="H7" s="42"/>
    </row>
    <row r="8" spans="1:8" x14ac:dyDescent="0.3">
      <c r="A8" s="20" t="s">
        <v>152</v>
      </c>
      <c r="B8" s="44"/>
      <c r="C8" s="44">
        <f>SUM(C5:C7)</f>
        <v>1.2</v>
      </c>
      <c r="D8" s="44">
        <f>SUM(D5:D7)</f>
        <v>3</v>
      </c>
      <c r="E8" s="44">
        <f>SUM(E5:E7)</f>
        <v>6</v>
      </c>
      <c r="F8" s="44">
        <f>SUM(F5:F7)</f>
        <v>10.8</v>
      </c>
      <c r="G8" s="44">
        <f>SUM(G5:G7)</f>
        <v>18</v>
      </c>
      <c r="H8" s="44"/>
    </row>
    <row r="9" spans="1:8" x14ac:dyDescent="0.3">
      <c r="A9" s="41" t="s">
        <v>153</v>
      </c>
      <c r="B9" s="41"/>
      <c r="C9" s="41"/>
      <c r="D9" s="41"/>
      <c r="E9" s="41"/>
      <c r="F9" s="41"/>
      <c r="G9" s="41"/>
      <c r="H9" s="41"/>
    </row>
    <row r="10" spans="1:8" x14ac:dyDescent="0.3">
      <c r="A10" s="8" t="s">
        <v>149</v>
      </c>
      <c r="B10" s="45"/>
      <c r="C10" s="45">
        <f t="shared" ref="C10:G12" si="0">(B5+C5)/2</f>
        <v>0.3</v>
      </c>
      <c r="D10" s="45">
        <f t="shared" si="0"/>
        <v>0.89999999999999991</v>
      </c>
      <c r="E10" s="45">
        <f t="shared" si="0"/>
        <v>1.7999999999999998</v>
      </c>
      <c r="F10" s="45">
        <f t="shared" si="0"/>
        <v>3.3</v>
      </c>
      <c r="G10" s="45">
        <f t="shared" si="0"/>
        <v>5.4</v>
      </c>
      <c r="H10" s="45"/>
    </row>
    <row r="11" spans="1:8" x14ac:dyDescent="0.3">
      <c r="A11" s="8" t="s">
        <v>150</v>
      </c>
      <c r="B11" s="45"/>
      <c r="C11" s="45">
        <f t="shared" si="0"/>
        <v>0.3</v>
      </c>
      <c r="D11" s="45">
        <f t="shared" si="0"/>
        <v>0.89999999999999991</v>
      </c>
      <c r="E11" s="45">
        <f t="shared" si="0"/>
        <v>1.7999999999999998</v>
      </c>
      <c r="F11" s="45">
        <f t="shared" si="0"/>
        <v>3.3</v>
      </c>
      <c r="G11" s="45">
        <f t="shared" si="0"/>
        <v>6</v>
      </c>
      <c r="H11" s="45"/>
    </row>
    <row r="12" spans="1:8" x14ac:dyDescent="0.3">
      <c r="A12" s="8" t="s">
        <v>151</v>
      </c>
      <c r="B12" s="45"/>
      <c r="C12" s="45">
        <f t="shared" si="0"/>
        <v>0</v>
      </c>
      <c r="D12" s="45">
        <f t="shared" si="0"/>
        <v>0.3</v>
      </c>
      <c r="E12" s="45">
        <f t="shared" si="0"/>
        <v>0.89999999999999991</v>
      </c>
      <c r="F12" s="45">
        <f t="shared" si="0"/>
        <v>1.7999999999999998</v>
      </c>
      <c r="G12" s="45">
        <f t="shared" si="0"/>
        <v>3</v>
      </c>
      <c r="H12" s="45"/>
    </row>
    <row r="13" spans="1:8" x14ac:dyDescent="0.3">
      <c r="A13" s="20" t="s">
        <v>154</v>
      </c>
      <c r="B13" s="44"/>
      <c r="C13" s="44">
        <f>SUM(C10:C12)</f>
        <v>0.6</v>
      </c>
      <c r="D13" s="44">
        <f>SUM(D10:D12)</f>
        <v>2.0999999999999996</v>
      </c>
      <c r="E13" s="44">
        <f>SUM(E10:E12)</f>
        <v>4.5</v>
      </c>
      <c r="F13" s="44">
        <f>SUM(F10:F12)</f>
        <v>8.3999999999999986</v>
      </c>
      <c r="G13" s="44">
        <f>SUM(G10:G12)</f>
        <v>14.4</v>
      </c>
      <c r="H13" s="44">
        <f>SUM(C13:G13)</f>
        <v>30</v>
      </c>
    </row>
    <row r="14" spans="1:8" x14ac:dyDescent="0.3">
      <c r="A14" s="41" t="s">
        <v>155</v>
      </c>
      <c r="B14" s="41"/>
      <c r="C14" s="41"/>
      <c r="D14" s="41"/>
      <c r="E14" s="41"/>
      <c r="F14" s="41"/>
      <c r="G14" s="41"/>
      <c r="H14" s="41"/>
    </row>
    <row r="15" spans="1:8" x14ac:dyDescent="0.3">
      <c r="A15" s="8" t="s">
        <v>156</v>
      </c>
      <c r="B15" s="45"/>
      <c r="C15" s="45">
        <f t="shared" ref="C15:G17" si="1">MAX(0,C5-B5)</f>
        <v>0.6</v>
      </c>
      <c r="D15" s="45">
        <f t="shared" si="1"/>
        <v>0.6</v>
      </c>
      <c r="E15" s="45">
        <f t="shared" si="1"/>
        <v>1.2</v>
      </c>
      <c r="F15" s="45">
        <f t="shared" si="1"/>
        <v>1.8000000000000003</v>
      </c>
      <c r="G15" s="45">
        <f t="shared" si="1"/>
        <v>2.3999999999999995</v>
      </c>
      <c r="H15" s="45"/>
    </row>
    <row r="16" spans="1:8" x14ac:dyDescent="0.3">
      <c r="A16" s="8" t="s">
        <v>157</v>
      </c>
      <c r="B16" s="45"/>
      <c r="C16" s="45">
        <f t="shared" si="1"/>
        <v>0.6</v>
      </c>
      <c r="D16" s="45">
        <f t="shared" si="1"/>
        <v>0.6</v>
      </c>
      <c r="E16" s="45">
        <f t="shared" si="1"/>
        <v>1.2</v>
      </c>
      <c r="F16" s="45">
        <f t="shared" si="1"/>
        <v>1.8000000000000003</v>
      </c>
      <c r="G16" s="45">
        <f t="shared" si="1"/>
        <v>3.5999999999999996</v>
      </c>
      <c r="H16" s="45"/>
    </row>
    <row r="17" spans="1:8" x14ac:dyDescent="0.3">
      <c r="A17" s="8" t="s">
        <v>158</v>
      </c>
      <c r="B17" s="45"/>
      <c r="C17" s="45">
        <f t="shared" si="1"/>
        <v>0</v>
      </c>
      <c r="D17" s="45">
        <f t="shared" si="1"/>
        <v>0.6</v>
      </c>
      <c r="E17" s="45">
        <f t="shared" si="1"/>
        <v>0.6</v>
      </c>
      <c r="F17" s="45">
        <f t="shared" si="1"/>
        <v>1.2</v>
      </c>
      <c r="G17" s="45">
        <f t="shared" si="1"/>
        <v>1.1999999999999997</v>
      </c>
      <c r="H17" s="45"/>
    </row>
    <row r="18" spans="1:8" x14ac:dyDescent="0.3">
      <c r="A18" s="20" t="s">
        <v>159</v>
      </c>
      <c r="B18" s="44"/>
      <c r="C18" s="44">
        <f>SUM(C15:C17)</f>
        <v>1.2</v>
      </c>
      <c r="D18" s="44">
        <f>SUM(D15:D17)</f>
        <v>1.7999999999999998</v>
      </c>
      <c r="E18" s="44">
        <f>SUM(E15:E17)</f>
        <v>3</v>
      </c>
      <c r="F18" s="44">
        <f>SUM(F15:F17)</f>
        <v>4.8000000000000007</v>
      </c>
      <c r="G18" s="44">
        <f>SUM(G15:G17)</f>
        <v>7.1999999999999993</v>
      </c>
      <c r="H18" s="44">
        <f>SUM(C18:G18)</f>
        <v>18</v>
      </c>
    </row>
    <row r="19" spans="1:8" x14ac:dyDescent="0.3">
      <c r="A19" s="8" t="s">
        <v>160</v>
      </c>
      <c r="B19" s="45"/>
      <c r="C19" s="45">
        <f>C18+B5*Supuestos!$E$18+B6*Supuestos!$E$19+B7*Supuestos!$E$20</f>
        <v>1.2</v>
      </c>
      <c r="D19" s="45">
        <f>D18+C5*Supuestos!$E$18+C6*Supuestos!$E$19+C7*Supuestos!$E$20</f>
        <v>1.92</v>
      </c>
      <c r="E19" s="45">
        <f>E18+D5*Supuestos!$E$18+D6*Supuestos!$E$19+D7*Supuestos!$E$20</f>
        <v>3.27</v>
      </c>
      <c r="F19" s="45">
        <f>F18+E5*Supuestos!$E$18+E6*Supuestos!$E$19+E7*Supuestos!$E$20</f>
        <v>5.3400000000000007</v>
      </c>
      <c r="G19" s="45">
        <f>G18+F5*Supuestos!$E$18+F6*Supuestos!$E$19+F7*Supuestos!$E$20</f>
        <v>8.1599999999999984</v>
      </c>
      <c r="H19" s="45">
        <f>SUM(C19:G19)</f>
        <v>19.89</v>
      </c>
    </row>
    <row r="20" spans="1:8" x14ac:dyDescent="0.3">
      <c r="A20" s="41" t="s">
        <v>161</v>
      </c>
      <c r="B20" s="41"/>
      <c r="C20" s="41"/>
      <c r="D20" s="41"/>
      <c r="E20" s="41"/>
      <c r="F20" s="41"/>
      <c r="G20" s="41"/>
      <c r="H20" s="41"/>
    </row>
    <row r="21" spans="1:8" x14ac:dyDescent="0.3">
      <c r="A21" s="8" t="s">
        <v>162</v>
      </c>
      <c r="B21" s="46"/>
      <c r="C21" s="46">
        <f>C10*Supuestos!$B$18*Supuestos!$C$54*12</f>
        <v>8100</v>
      </c>
      <c r="D21" s="46">
        <f>D10*Supuestos!$B$18*Supuestos!$C$54*12</f>
        <v>24300</v>
      </c>
      <c r="E21" s="46">
        <f>E10*Supuestos!$B$18*Supuestos!$C$54*12</f>
        <v>48600</v>
      </c>
      <c r="F21" s="46">
        <f>F10*Supuestos!$B$18*Supuestos!$C$54*12</f>
        <v>89100</v>
      </c>
      <c r="G21" s="46">
        <f>G10*Supuestos!$B$18*Supuestos!$C$54*12</f>
        <v>145800</v>
      </c>
      <c r="H21" s="46">
        <f t="shared" ref="H21:H26" si="2">SUM(C21:G21)</f>
        <v>315900</v>
      </c>
    </row>
    <row r="22" spans="1:8" x14ac:dyDescent="0.3">
      <c r="A22" s="8" t="s">
        <v>163</v>
      </c>
      <c r="B22" s="46"/>
      <c r="C22" s="46">
        <f>C11*Supuestos!$B$19*Supuestos!$C$54*12</f>
        <v>16200</v>
      </c>
      <c r="D22" s="46">
        <f>D11*Supuestos!$B$19*Supuestos!$C$54*12</f>
        <v>48600</v>
      </c>
      <c r="E22" s="46">
        <f>E11*Supuestos!$B$19*Supuestos!$C$54*12</f>
        <v>97200</v>
      </c>
      <c r="F22" s="46">
        <f>F11*Supuestos!$B$19*Supuestos!$C$54*12</f>
        <v>178200</v>
      </c>
      <c r="G22" s="46">
        <f>G11*Supuestos!$B$19*Supuestos!$C$54*12</f>
        <v>324000</v>
      </c>
      <c r="H22" s="46">
        <f t="shared" si="2"/>
        <v>664200</v>
      </c>
    </row>
    <row r="23" spans="1:8" x14ac:dyDescent="0.3">
      <c r="A23" s="8" t="s">
        <v>164</v>
      </c>
      <c r="B23" s="46"/>
      <c r="C23" s="46">
        <f>C12*Supuestos!$B$20*Supuestos!$C$54*12</f>
        <v>0</v>
      </c>
      <c r="D23" s="46">
        <f>D12*Supuestos!$B$20*Supuestos!$C$54*12</f>
        <v>29160</v>
      </c>
      <c r="E23" s="46">
        <f>E12*Supuestos!$B$20*Supuestos!$C$54*12</f>
        <v>87479.999999999985</v>
      </c>
      <c r="F23" s="46">
        <f>F12*Supuestos!$B$20*Supuestos!$C$54*12</f>
        <v>174959.99999999997</v>
      </c>
      <c r="G23" s="46">
        <f>G12*Supuestos!$B$20*Supuestos!$C$54*12</f>
        <v>291600</v>
      </c>
      <c r="H23" s="46">
        <f t="shared" si="2"/>
        <v>583200</v>
      </c>
    </row>
    <row r="24" spans="1:8" x14ac:dyDescent="0.3">
      <c r="A24" s="20" t="s">
        <v>165</v>
      </c>
      <c r="B24" s="47"/>
      <c r="C24" s="47">
        <f>SUM(C21:C23)</f>
        <v>24300</v>
      </c>
      <c r="D24" s="47">
        <f>SUM(D21:D23)</f>
        <v>102060</v>
      </c>
      <c r="E24" s="47">
        <f>SUM(E21:E23)</f>
        <v>233280</v>
      </c>
      <c r="F24" s="47">
        <f>SUM(F21:F23)</f>
        <v>442260</v>
      </c>
      <c r="G24" s="47">
        <f>SUM(G21:G23)</f>
        <v>761400</v>
      </c>
      <c r="H24" s="47">
        <f t="shared" si="2"/>
        <v>1563300</v>
      </c>
    </row>
    <row r="25" spans="1:8" x14ac:dyDescent="0.3">
      <c r="A25" s="8" t="s">
        <v>166</v>
      </c>
      <c r="B25" s="46"/>
      <c r="C25" s="46">
        <f>(C15*Supuestos!$C$18+C16*Supuestos!$C$19+C17*Supuestos!$C$20)*Supuestos!$C$54</f>
        <v>8100</v>
      </c>
      <c r="D25" s="46">
        <f>(D15*Supuestos!$C$18+D16*Supuestos!$C$19+D17*Supuestos!$C$20)*Supuestos!$C$54</f>
        <v>18900</v>
      </c>
      <c r="E25" s="46">
        <f>(E15*Supuestos!$C$18+E16*Supuestos!$C$19+E17*Supuestos!$C$20)*Supuestos!$C$54</f>
        <v>27000</v>
      </c>
      <c r="F25" s="46">
        <f>(F15*Supuestos!$C$18+F16*Supuestos!$C$19+F17*Supuestos!$C$20)*Supuestos!$C$54</f>
        <v>45900.000000000007</v>
      </c>
      <c r="G25" s="46">
        <f>(G15*Supuestos!$C$18+G16*Supuestos!$C$19+G17*Supuestos!$C$20)*Supuestos!$C$54</f>
        <v>64800</v>
      </c>
      <c r="H25" s="46">
        <f t="shared" si="2"/>
        <v>164700</v>
      </c>
    </row>
    <row r="26" spans="1:8" x14ac:dyDescent="0.3">
      <c r="A26" s="20" t="s">
        <v>167</v>
      </c>
      <c r="B26" s="47"/>
      <c r="C26" s="47">
        <f>C24+C25</f>
        <v>32400</v>
      </c>
      <c r="D26" s="47">
        <f>D24+D25</f>
        <v>120960</v>
      </c>
      <c r="E26" s="47">
        <f>E24+E25</f>
        <v>260280</v>
      </c>
      <c r="F26" s="47">
        <f>F24+F25</f>
        <v>488160</v>
      </c>
      <c r="G26" s="47">
        <f>G24+G25</f>
        <v>826200</v>
      </c>
      <c r="H26" s="47">
        <f t="shared" si="2"/>
        <v>1728000</v>
      </c>
    </row>
    <row r="27" spans="1:8" x14ac:dyDescent="0.3">
      <c r="A27" s="41" t="s">
        <v>168</v>
      </c>
      <c r="B27" s="41"/>
      <c r="C27" s="41"/>
      <c r="D27" s="41"/>
      <c r="E27" s="41"/>
      <c r="F27" s="41"/>
      <c r="G27" s="41"/>
      <c r="H27" s="41"/>
    </row>
    <row r="28" spans="1:8" x14ac:dyDescent="0.3">
      <c r="A28" s="8" t="s">
        <v>169</v>
      </c>
      <c r="B28" s="46"/>
      <c r="C28" s="46">
        <f>(C21*Supuestos!$D$18+C22*Supuestos!$D$19+C23*Supuestos!$D$20)*Supuestos!$D$54</f>
        <v>3888</v>
      </c>
      <c r="D28" s="46">
        <f>(D21*Supuestos!$D$18+D22*Supuestos!$D$19+D23*Supuestos!$D$20)*Supuestos!$D$54</f>
        <v>19362.240000000002</v>
      </c>
      <c r="E28" s="46">
        <f>(E21*Supuestos!$D$18+E22*Supuestos!$D$19+E23*Supuestos!$D$20)*Supuestos!$D$54</f>
        <v>46422.719999999994</v>
      </c>
      <c r="F28" s="46">
        <f>(F21*Supuestos!$D$18+F22*Supuestos!$D$19+F23*Supuestos!$D$20)*Supuestos!$D$54</f>
        <v>88957.439999999988</v>
      </c>
      <c r="G28" s="46">
        <f>(G21*Supuestos!$D$18+G22*Supuestos!$D$19+G23*Supuestos!$D$20)*Supuestos!$D$54</f>
        <v>152798.39999999999</v>
      </c>
      <c r="H28" s="46">
        <f>SUM(C28:G28)</f>
        <v>311428.79999999993</v>
      </c>
    </row>
    <row r="29" spans="1:8" x14ac:dyDescent="0.3">
      <c r="A29" s="8" t="s">
        <v>170</v>
      </c>
      <c r="B29" s="46"/>
      <c r="C29" s="46">
        <f>C25*Supuestos!$B$9</f>
        <v>2430</v>
      </c>
      <c r="D29" s="46">
        <f>D25*Supuestos!$B$9</f>
        <v>5670</v>
      </c>
      <c r="E29" s="46">
        <f>E25*Supuestos!$B$9</f>
        <v>8100</v>
      </c>
      <c r="F29" s="46">
        <f>F25*Supuestos!$B$9</f>
        <v>13770.000000000002</v>
      </c>
      <c r="G29" s="46">
        <f>G25*Supuestos!$B$9</f>
        <v>19440</v>
      </c>
      <c r="H29" s="46">
        <f>SUM(C29:G29)</f>
        <v>49410</v>
      </c>
    </row>
    <row r="30" spans="1:8" x14ac:dyDescent="0.3">
      <c r="A30" s="20" t="s">
        <v>171</v>
      </c>
      <c r="B30" s="47"/>
      <c r="C30" s="47">
        <f>C28+C29</f>
        <v>6318</v>
      </c>
      <c r="D30" s="47">
        <f>D28+D29</f>
        <v>25032.240000000002</v>
      </c>
      <c r="E30" s="47">
        <f>E28+E29</f>
        <v>54522.719999999994</v>
      </c>
      <c r="F30" s="47">
        <f>F28+F29</f>
        <v>102727.43999999999</v>
      </c>
      <c r="G30" s="47">
        <f>G28+G29</f>
        <v>172238.4</v>
      </c>
      <c r="H30" s="47">
        <f>SUM(C30:G30)</f>
        <v>360838.79999999993</v>
      </c>
    </row>
    <row r="31" spans="1:8" x14ac:dyDescent="0.3">
      <c r="A31" s="8" t="s">
        <v>172</v>
      </c>
      <c r="B31" s="46"/>
      <c r="C31" s="48">
        <f>Supuestos!B$32*Supuestos!$E$54</f>
        <v>150000</v>
      </c>
      <c r="D31" s="48">
        <f>Supuestos!C$32*Supuestos!$E$54</f>
        <v>210000</v>
      </c>
      <c r="E31" s="48">
        <f>Supuestos!D$32*Supuestos!$E$54</f>
        <v>300000</v>
      </c>
      <c r="F31" s="48">
        <f>Supuestos!E$32*Supuestos!$E$54</f>
        <v>400000</v>
      </c>
      <c r="G31" s="48">
        <f>Supuestos!F$32*Supuestos!$E$54</f>
        <v>550000</v>
      </c>
      <c r="H31" s="46">
        <f>SUM(C31:G31)</f>
        <v>1610000</v>
      </c>
    </row>
    <row r="32" spans="1:8" x14ac:dyDescent="0.3">
      <c r="A32" s="20" t="s">
        <v>173</v>
      </c>
      <c r="B32" s="47"/>
      <c r="C32" s="47">
        <f>C30+C31</f>
        <v>156318</v>
      </c>
      <c r="D32" s="47">
        <f>D30+D31</f>
        <v>235032.24</v>
      </c>
      <c r="E32" s="47">
        <f>E30+E31</f>
        <v>354522.72</v>
      </c>
      <c r="F32" s="47">
        <f>F30+F31</f>
        <v>502727.44</v>
      </c>
      <c r="G32" s="47">
        <f>G30+G31</f>
        <v>722238.4</v>
      </c>
      <c r="H32" s="47">
        <f>SUM(C32:G32)</f>
        <v>1970838.7999999998</v>
      </c>
    </row>
    <row r="33" spans="1:8" x14ac:dyDescent="0.3">
      <c r="A33" s="41" t="s">
        <v>174</v>
      </c>
      <c r="B33" s="41"/>
      <c r="C33" s="41"/>
      <c r="D33" s="41"/>
      <c r="E33" s="41"/>
      <c r="F33" s="41"/>
      <c r="G33" s="41"/>
      <c r="H33" s="41"/>
    </row>
    <row r="34" spans="1:8" x14ac:dyDescent="0.3">
      <c r="A34" s="20" t="s">
        <v>175</v>
      </c>
      <c r="B34" s="47"/>
      <c r="C34" s="47">
        <f>C26-C32</f>
        <v>-123918</v>
      </c>
      <c r="D34" s="47">
        <f>D26-D32</f>
        <v>-114072.23999999999</v>
      </c>
      <c r="E34" s="47">
        <f>E26-E32</f>
        <v>-94242.719999999972</v>
      </c>
      <c r="F34" s="47">
        <f>F26-F32</f>
        <v>-14567.440000000002</v>
      </c>
      <c r="G34" s="47">
        <f>G26-G32</f>
        <v>103961.59999999998</v>
      </c>
      <c r="H34" s="47">
        <f>SUM(C34:G34)</f>
        <v>-242838.8</v>
      </c>
    </row>
    <row r="35" spans="1:8" x14ac:dyDescent="0.3">
      <c r="A35" s="8" t="s">
        <v>176</v>
      </c>
      <c r="B35" s="49"/>
      <c r="C35" s="49">
        <f>IF(C26=0,0,C34/C26)</f>
        <v>-3.8246296296296296</v>
      </c>
      <c r="D35" s="49">
        <f>IF(D26=0,0,D34/D26)</f>
        <v>-0.94305753968253958</v>
      </c>
      <c r="E35" s="49">
        <f>IF(E26=0,0,E34/E26)</f>
        <v>-0.36208206546795746</v>
      </c>
      <c r="F35" s="49">
        <f>IF(F26=0,0,F34/F26)</f>
        <v>-2.9841527368076045E-2</v>
      </c>
      <c r="G35" s="49">
        <f>IF(G26=0,0,G34/G26)</f>
        <v>0.12583103364802709</v>
      </c>
      <c r="H35" s="49"/>
    </row>
    <row r="36" spans="1:8" x14ac:dyDescent="0.3">
      <c r="A36" s="8" t="s">
        <v>177</v>
      </c>
      <c r="B36" s="46"/>
      <c r="C36" s="46">
        <f>IF(C3&lt;=Supuestos!$B$11,Supuestos!$B$50/Supuestos!$B$11,0)</f>
        <v>44000</v>
      </c>
      <c r="D36" s="46">
        <f>IF(D3&lt;=Supuestos!$B$11,Supuestos!$B$50/Supuestos!$B$11,0)</f>
        <v>44000</v>
      </c>
      <c r="E36" s="46">
        <f>IF(E3&lt;=Supuestos!$B$11,Supuestos!$B$50/Supuestos!$B$11,0)</f>
        <v>44000</v>
      </c>
      <c r="F36" s="46">
        <f>IF(F3&lt;=Supuestos!$B$11,Supuestos!$B$50/Supuestos!$B$11,0)</f>
        <v>44000</v>
      </c>
      <c r="G36" s="46">
        <f>IF(G3&lt;=Supuestos!$B$11,Supuestos!$B$50/Supuestos!$B$11,0)</f>
        <v>44000</v>
      </c>
      <c r="H36" s="46">
        <f>SUM(C36:G36)</f>
        <v>220000</v>
      </c>
    </row>
    <row r="37" spans="1:8" x14ac:dyDescent="0.3">
      <c r="A37" s="20" t="s">
        <v>178</v>
      </c>
      <c r="B37" s="47"/>
      <c r="C37" s="47">
        <f>C34-C36</f>
        <v>-167918</v>
      </c>
      <c r="D37" s="47">
        <f>D34-D36</f>
        <v>-158072.24</v>
      </c>
      <c r="E37" s="47">
        <f>E34-E36</f>
        <v>-138242.71999999997</v>
      </c>
      <c r="F37" s="47">
        <f>F34-F36</f>
        <v>-58567.44</v>
      </c>
      <c r="G37" s="47">
        <f>G34-G36</f>
        <v>59961.599999999977</v>
      </c>
      <c r="H37" s="47">
        <f>SUM(C37:G37)</f>
        <v>-462838.8</v>
      </c>
    </row>
    <row r="38" spans="1:8" x14ac:dyDescent="0.3">
      <c r="A38" s="6" t="s">
        <v>179</v>
      </c>
      <c r="B38" s="50"/>
      <c r="C38" s="50">
        <f>0</f>
        <v>0</v>
      </c>
      <c r="D38" s="50">
        <f>C40</f>
        <v>167918</v>
      </c>
      <c r="E38" s="50">
        <f>D40</f>
        <v>325990.24</v>
      </c>
      <c r="F38" s="50">
        <f>E40</f>
        <v>464232.95999999996</v>
      </c>
      <c r="G38" s="50">
        <f>F40</f>
        <v>522800.39999999997</v>
      </c>
      <c r="H38" s="50"/>
    </row>
    <row r="39" spans="1:8" x14ac:dyDescent="0.3">
      <c r="A39" s="6" t="s">
        <v>180</v>
      </c>
      <c r="B39" s="50"/>
      <c r="C39" s="50">
        <f>MIN(C38,MAX(C37,0))</f>
        <v>0</v>
      </c>
      <c r="D39" s="50">
        <f>MIN(D38,MAX(D37,0))</f>
        <v>0</v>
      </c>
      <c r="E39" s="50">
        <f>MIN(E38,MAX(E37,0))</f>
        <v>0</v>
      </c>
      <c r="F39" s="50">
        <f>MIN(F38,MAX(F37,0))</f>
        <v>0</v>
      </c>
      <c r="G39" s="50">
        <f>MIN(G38,MAX(G37,0))</f>
        <v>59961.599999999977</v>
      </c>
      <c r="H39" s="50"/>
    </row>
    <row r="40" spans="1:8" x14ac:dyDescent="0.3">
      <c r="A40" s="6" t="s">
        <v>181</v>
      </c>
      <c r="B40" s="50"/>
      <c r="C40" s="50">
        <f>C38+MAX(-C37,0)-C39</f>
        <v>167918</v>
      </c>
      <c r="D40" s="50">
        <f>D38+MAX(-D37,0)-D39</f>
        <v>325990.24</v>
      </c>
      <c r="E40" s="50">
        <f>E38+MAX(-E37,0)-E39</f>
        <v>464232.95999999996</v>
      </c>
      <c r="F40" s="50">
        <f>F38+MAX(-F37,0)-F39</f>
        <v>522800.39999999997</v>
      </c>
      <c r="G40" s="50">
        <f>G38+MAX(-G37,0)-G39</f>
        <v>462838.8</v>
      </c>
      <c r="H40" s="50"/>
    </row>
    <row r="41" spans="1:8" x14ac:dyDescent="0.3">
      <c r="A41" s="6" t="s">
        <v>182</v>
      </c>
      <c r="B41" s="50"/>
      <c r="C41" s="50">
        <f>MAX(C37,0)-C39</f>
        <v>0</v>
      </c>
      <c r="D41" s="50">
        <f>MAX(D37,0)-D39</f>
        <v>0</v>
      </c>
      <c r="E41" s="50">
        <f>MAX(E37,0)-E39</f>
        <v>0</v>
      </c>
      <c r="F41" s="50">
        <f>MAX(F37,0)-F39</f>
        <v>0</v>
      </c>
      <c r="G41" s="50">
        <f>MAX(G37,0)-G39</f>
        <v>0</v>
      </c>
      <c r="H41" s="50"/>
    </row>
    <row r="42" spans="1:8" x14ac:dyDescent="0.3">
      <c r="A42" s="6" t="s">
        <v>183</v>
      </c>
      <c r="B42" s="50"/>
      <c r="C42" s="50">
        <f>C41*Supuestos!$B$7</f>
        <v>0</v>
      </c>
      <c r="D42" s="50">
        <f>D41*Supuestos!$B$7</f>
        <v>0</v>
      </c>
      <c r="E42" s="50">
        <f>E41*Supuestos!$B$7</f>
        <v>0</v>
      </c>
      <c r="F42" s="50">
        <f>F41*Supuestos!$B$7</f>
        <v>0</v>
      </c>
      <c r="G42" s="50">
        <f>G41*Supuestos!$B$7</f>
        <v>0</v>
      </c>
      <c r="H42" s="50"/>
    </row>
    <row r="43" spans="1:8" x14ac:dyDescent="0.3">
      <c r="A43" s="6" t="s">
        <v>184</v>
      </c>
      <c r="B43" s="50"/>
      <c r="C43" s="50">
        <f>C26*Supuestos!$B$8</f>
        <v>324</v>
      </c>
      <c r="D43" s="50">
        <f>D26*Supuestos!$B$8</f>
        <v>1209.6000000000001</v>
      </c>
      <c r="E43" s="50">
        <f>E26*Supuestos!$B$8</f>
        <v>2602.8000000000002</v>
      </c>
      <c r="F43" s="50">
        <f>F26*Supuestos!$B$8</f>
        <v>4881.6000000000004</v>
      </c>
      <c r="G43" s="50">
        <f>G26*Supuestos!$B$8</f>
        <v>8262</v>
      </c>
      <c r="H43" s="50"/>
    </row>
    <row r="44" spans="1:8" x14ac:dyDescent="0.3">
      <c r="A44" s="8" t="s">
        <v>185</v>
      </c>
      <c r="B44" s="46"/>
      <c r="C44" s="46">
        <f>MAX(C42,C43)</f>
        <v>324</v>
      </c>
      <c r="D44" s="46">
        <f>MAX(D42,D43)</f>
        <v>1209.6000000000001</v>
      </c>
      <c r="E44" s="46">
        <f>MAX(E42,E43)</f>
        <v>2602.8000000000002</v>
      </c>
      <c r="F44" s="46">
        <f>MAX(F42,F43)</f>
        <v>4881.6000000000004</v>
      </c>
      <c r="G44" s="46">
        <f>MAX(G42,G43)</f>
        <v>8262</v>
      </c>
      <c r="H44" s="46">
        <f>SUM(C44:G44)</f>
        <v>17280</v>
      </c>
    </row>
    <row r="45" spans="1:8" x14ac:dyDescent="0.3">
      <c r="A45" s="20" t="s">
        <v>186</v>
      </c>
      <c r="B45" s="47"/>
      <c r="C45" s="47">
        <f>C37-C44</f>
        <v>-168242</v>
      </c>
      <c r="D45" s="47">
        <f>D37-D44</f>
        <v>-159281.84</v>
      </c>
      <c r="E45" s="47">
        <f>E37-E44</f>
        <v>-140845.51999999996</v>
      </c>
      <c r="F45" s="47">
        <f>F37-F44</f>
        <v>-63449.04</v>
      </c>
      <c r="G45" s="47">
        <f>G37-G44</f>
        <v>51699.599999999977</v>
      </c>
      <c r="H45" s="47">
        <f>SUM(C45:G45)</f>
        <v>-480118.79999999993</v>
      </c>
    </row>
    <row r="46" spans="1:8" x14ac:dyDescent="0.3">
      <c r="A46" s="41" t="s">
        <v>187</v>
      </c>
      <c r="B46" s="41"/>
      <c r="C46" s="41"/>
      <c r="D46" s="41"/>
      <c r="E46" s="41"/>
      <c r="F46" s="41"/>
      <c r="G46" s="41"/>
      <c r="H46" s="41"/>
    </row>
    <row r="47" spans="1:8" x14ac:dyDescent="0.3">
      <c r="A47" s="20" t="s">
        <v>188</v>
      </c>
      <c r="B47" s="51">
        <f>-Supuestos!$B$50</f>
        <v>-220000</v>
      </c>
      <c r="C47" s="47">
        <f>C45+C36</f>
        <v>-124242</v>
      </c>
      <c r="D47" s="47">
        <f>D45+D36</f>
        <v>-115281.84</v>
      </c>
      <c r="E47" s="47">
        <f>E45+E36</f>
        <v>-96845.51999999996</v>
      </c>
      <c r="F47" s="47">
        <f>F45+F36</f>
        <v>-19449.04</v>
      </c>
      <c r="G47" s="47">
        <f>G45+G36</f>
        <v>95699.599999999977</v>
      </c>
      <c r="H47" s="47">
        <f>SUM(C47:G47)</f>
        <v>-260118.8</v>
      </c>
    </row>
    <row r="48" spans="1:8" x14ac:dyDescent="0.3">
      <c r="A48" s="8" t="s">
        <v>189</v>
      </c>
      <c r="B48" s="46">
        <f>B47</f>
        <v>-220000</v>
      </c>
      <c r="C48" s="46">
        <f>B48+C47</f>
        <v>-344242</v>
      </c>
      <c r="D48" s="46">
        <f>C48+D47</f>
        <v>-459523.83999999997</v>
      </c>
      <c r="E48" s="46">
        <f>D48+E47</f>
        <v>-556369.35999999987</v>
      </c>
      <c r="F48" s="46">
        <f>E48+F47</f>
        <v>-575818.39999999991</v>
      </c>
      <c r="G48" s="46">
        <f>F48+G47</f>
        <v>-480118.79999999993</v>
      </c>
      <c r="H48" s="46"/>
    </row>
    <row r="49" spans="1:8" x14ac:dyDescent="0.3">
      <c r="A49" s="6" t="s">
        <v>190</v>
      </c>
      <c r="B49" s="52">
        <f>1/(1+Supuestos!$B$6)^B3</f>
        <v>1</v>
      </c>
      <c r="C49" s="52">
        <f>1/(1+Supuestos!$B$6)^C3</f>
        <v>0.86956521739130443</v>
      </c>
      <c r="D49" s="52">
        <f>1/(1+Supuestos!$B$6)^D3</f>
        <v>0.7561436672967865</v>
      </c>
      <c r="E49" s="52">
        <f>1/(1+Supuestos!$B$6)^E3</f>
        <v>0.65751623243198831</v>
      </c>
      <c r="F49" s="52">
        <f>1/(1+Supuestos!$B$6)^F3</f>
        <v>0.57175324559303342</v>
      </c>
      <c r="G49" s="52">
        <f>1/(1+Supuestos!$B$6)^G3</f>
        <v>0.49717673529828987</v>
      </c>
      <c r="H49" s="52"/>
    </row>
    <row r="50" spans="1:8" x14ac:dyDescent="0.3">
      <c r="A50" s="8" t="s">
        <v>191</v>
      </c>
      <c r="B50" s="46">
        <f t="shared" ref="B50:G50" si="3">B47*B49</f>
        <v>-220000</v>
      </c>
      <c r="C50" s="46">
        <f t="shared" si="3"/>
        <v>-108036.52173913045</v>
      </c>
      <c r="D50" s="46">
        <f t="shared" si="3"/>
        <v>-87169.63327032137</v>
      </c>
      <c r="E50" s="46">
        <f t="shared" si="3"/>
        <v>-63677.501438316744</v>
      </c>
      <c r="F50" s="46">
        <f t="shared" si="3"/>
        <v>-11120.051743668731</v>
      </c>
      <c r="G50" s="46">
        <f t="shared" si="3"/>
        <v>47579.614697352212</v>
      </c>
      <c r="H50" s="46"/>
    </row>
    <row r="51" spans="1:8" x14ac:dyDescent="0.3">
      <c r="A51" s="8" t="s">
        <v>192</v>
      </c>
      <c r="B51" s="46">
        <f>B50</f>
        <v>-220000</v>
      </c>
      <c r="C51" s="46">
        <f>B51+C50</f>
        <v>-328036.52173913043</v>
      </c>
      <c r="D51" s="46">
        <f>C51+D50</f>
        <v>-415206.15500945179</v>
      </c>
      <c r="E51" s="46">
        <f>D51+E50</f>
        <v>-478883.65644776856</v>
      </c>
      <c r="F51" s="46">
        <f>E51+F50</f>
        <v>-490003.7081914373</v>
      </c>
      <c r="G51" s="46">
        <f>F51+G50</f>
        <v>-442424.09349408507</v>
      </c>
      <c r="H51" s="46"/>
    </row>
    <row r="52" spans="1:8" x14ac:dyDescent="0.3">
      <c r="A52" s="6" t="s">
        <v>193</v>
      </c>
      <c r="B52" s="50"/>
      <c r="C52" s="50">
        <f>C32+C44</f>
        <v>156642</v>
      </c>
      <c r="D52" s="50">
        <f>D32+D44</f>
        <v>236241.84</v>
      </c>
      <c r="E52" s="50">
        <f>E32+E44</f>
        <v>357125.51999999996</v>
      </c>
      <c r="F52" s="50">
        <f>F32+F44</f>
        <v>507609.04</v>
      </c>
      <c r="G52" s="50">
        <f>G32+G44</f>
        <v>730500.4</v>
      </c>
      <c r="H52" s="50"/>
    </row>
    <row r="53" spans="1:8" x14ac:dyDescent="0.3">
      <c r="A53" s="6" t="s">
        <v>194</v>
      </c>
      <c r="B53" s="53"/>
      <c r="C53" s="53" t="str">
        <f>IF(AND(B48&lt;0,C48&gt;=0),B3+(-B48)/C47,"")</f>
        <v/>
      </c>
      <c r="D53" s="53" t="str">
        <f>IF(AND(C48&lt;0,D48&gt;=0),C3+(-C48)/D47,"")</f>
        <v/>
      </c>
      <c r="E53" s="53" t="str">
        <f>IF(AND(D48&lt;0,E48&gt;=0),D3+(-D48)/E47,"")</f>
        <v/>
      </c>
      <c r="F53" s="53" t="str">
        <f>IF(AND(E48&lt;0,F48&gt;=0),E3+(-E48)/F47,"")</f>
        <v/>
      </c>
      <c r="G53" s="53" t="str">
        <f>IF(AND(F48&lt;0,G48&gt;=0),F3+(-F48)/G47,"")</f>
        <v/>
      </c>
      <c r="H53" s="53"/>
    </row>
    <row r="54" spans="1:8" x14ac:dyDescent="0.3">
      <c r="A54" s="6" t="s">
        <v>195</v>
      </c>
      <c r="B54" s="53"/>
      <c r="C54" s="53" t="str">
        <f>IF(AND(B51&lt;0,C51&gt;=0),B3+(-B51)/C50,"")</f>
        <v/>
      </c>
      <c r="D54" s="53" t="str">
        <f>IF(AND(C51&lt;0,D51&gt;=0),C3+(-C51)/D50,"")</f>
        <v/>
      </c>
      <c r="E54" s="53" t="str">
        <f>IF(AND(D51&lt;0,E51&gt;=0),D3+(-D51)/E50,"")</f>
        <v/>
      </c>
      <c r="F54" s="53" t="str">
        <f>IF(AND(E51&lt;0,F51&gt;=0),E3+(-E51)/F50,"")</f>
        <v/>
      </c>
      <c r="G54" s="53" t="str">
        <f>IF(AND(F51&lt;0,G51&gt;=0),F3+(-F51)/G50,"")</f>
        <v/>
      </c>
      <c r="H54" s="53"/>
    </row>
    <row r="55" spans="1:8" x14ac:dyDescent="0.3">
      <c r="A55" s="41" t="s">
        <v>196</v>
      </c>
      <c r="B55" s="41"/>
      <c r="C55" s="41"/>
      <c r="D55" s="41"/>
      <c r="E55" s="41"/>
      <c r="F55" s="41"/>
      <c r="G55" s="41"/>
      <c r="H55" s="41"/>
    </row>
    <row r="56" spans="1:8" x14ac:dyDescent="0.3">
      <c r="A56" s="15" t="s">
        <v>4</v>
      </c>
      <c r="B56" s="54">
        <f>SUM(B50:G50)</f>
        <v>-442424.09349408507</v>
      </c>
      <c r="C56" s="55"/>
      <c r="D56" s="55"/>
      <c r="E56" s="55"/>
      <c r="F56" s="55"/>
      <c r="G56" s="55"/>
      <c r="H56" s="55"/>
    </row>
    <row r="57" spans="1:8" x14ac:dyDescent="0.3">
      <c r="A57" s="15" t="s">
        <v>5</v>
      </c>
      <c r="B57" s="56">
        <f>IFERROR(IRR(B47:G47),"n/d")</f>
        <v>-0.41820137526712109</v>
      </c>
      <c r="C57" s="57"/>
      <c r="D57" s="57"/>
      <c r="E57" s="57"/>
      <c r="F57" s="57"/>
      <c r="G57" s="57"/>
      <c r="H57" s="57"/>
    </row>
    <row r="58" spans="1:8" x14ac:dyDescent="0.3">
      <c r="A58" s="15" t="s">
        <v>197</v>
      </c>
      <c r="B58" s="58" t="str">
        <f>IF(COUNT(C53:G53)=0,"No se recupera",MIN(C53:G53))</f>
        <v>No se recupera</v>
      </c>
      <c r="C58" s="59"/>
      <c r="D58" s="59"/>
      <c r="E58" s="59"/>
      <c r="F58" s="59"/>
      <c r="G58" s="59"/>
      <c r="H58" s="59"/>
    </row>
    <row r="59" spans="1:8" x14ac:dyDescent="0.3">
      <c r="A59" s="15" t="s">
        <v>198</v>
      </c>
      <c r="B59" s="58" t="str">
        <f>IF(COUNT(C54:G54)=0,"No se recupera",MIN(C54:G54))</f>
        <v>No se recupera</v>
      </c>
      <c r="C59" s="59"/>
      <c r="D59" s="59"/>
      <c r="E59" s="59"/>
      <c r="F59" s="59"/>
      <c r="G59" s="59"/>
      <c r="H59" s="59"/>
    </row>
    <row r="60" spans="1:8" x14ac:dyDescent="0.3">
      <c r="A60" s="15" t="s">
        <v>199</v>
      </c>
      <c r="B60" s="58">
        <f>IFERROR(NPV(Supuestos!$B$6,C26:G26)/(Supuestos!$B$50+NPV(Supuestos!$B$6,C52:G52)),"n/d")</f>
        <v>0.68910674481045253</v>
      </c>
      <c r="C60" s="59"/>
      <c r="D60" s="59"/>
      <c r="E60" s="59"/>
      <c r="F60" s="59"/>
      <c r="G60" s="59"/>
      <c r="H60" s="59"/>
    </row>
    <row r="61" spans="1:8" x14ac:dyDescent="0.3">
      <c r="A61" s="15" t="s">
        <v>200</v>
      </c>
      <c r="B61" s="58">
        <f>IFERROR(SUMIF(C50:G50,"&gt;0")/(Supuestos!$B$50-SUMIF(C50:G50,"&lt;0")),"n/d")</f>
        <v>9.7100519653136069E-2</v>
      </c>
      <c r="C61" s="59"/>
      <c r="D61" s="59"/>
      <c r="E61" s="59"/>
      <c r="F61" s="59"/>
      <c r="G61" s="59"/>
      <c r="H61" s="59"/>
    </row>
    <row r="62" spans="1:8" x14ac:dyDescent="0.3">
      <c r="A62" s="15" t="s">
        <v>201</v>
      </c>
      <c r="B62" s="58">
        <f>1+B56/Supuestos!$B$50</f>
        <v>-1.0110186067912958</v>
      </c>
      <c r="C62" s="59"/>
      <c r="D62" s="59"/>
      <c r="E62" s="59"/>
      <c r="F62" s="59"/>
      <c r="G62" s="59"/>
      <c r="H62" s="59"/>
    </row>
    <row r="63" spans="1:8" x14ac:dyDescent="0.3">
      <c r="A63" s="15" t="s">
        <v>202</v>
      </c>
      <c r="B63" s="60">
        <f>(SUM(C47:G47)-Supuestos!$B$50)/Supuestos!$B$50</f>
        <v>-2.1823581818181816</v>
      </c>
      <c r="C63" s="61"/>
      <c r="D63" s="61"/>
      <c r="E63" s="61"/>
      <c r="F63" s="61"/>
      <c r="G63" s="61"/>
      <c r="H63" s="61"/>
    </row>
    <row r="64" spans="1:8" x14ac:dyDescent="0.3">
      <c r="A64" s="15" t="s">
        <v>203</v>
      </c>
      <c r="B64" s="54">
        <f>-MIN(B48:G48)</f>
        <v>575818.39999999991</v>
      </c>
      <c r="C64" s="55"/>
      <c r="D64" s="55"/>
      <c r="E64" s="55"/>
      <c r="F64" s="55"/>
      <c r="G64" s="55"/>
      <c r="H64" s="55"/>
    </row>
    <row r="65" spans="1:8" x14ac:dyDescent="0.3">
      <c r="A65" s="15" t="s">
        <v>204</v>
      </c>
      <c r="B65" s="54">
        <f>CEILING(B64*(1+Supuestos!$B$12),50000)</f>
        <v>650000</v>
      </c>
      <c r="C65" s="55"/>
      <c r="D65" s="55"/>
      <c r="E65" s="55"/>
      <c r="F65" s="55"/>
      <c r="G65" s="55"/>
      <c r="H65" s="55"/>
    </row>
    <row r="68" spans="1:8" ht="16.8" x14ac:dyDescent="0.3">
      <c r="A68" s="37" t="s">
        <v>286</v>
      </c>
    </row>
    <row r="69" spans="1:8" x14ac:dyDescent="0.3">
      <c r="A69" s="13" t="s">
        <v>144</v>
      </c>
      <c r="B69" s="14" t="s">
        <v>145</v>
      </c>
      <c r="C69" s="14" t="s">
        <v>53</v>
      </c>
      <c r="D69" s="14" t="s">
        <v>54</v>
      </c>
      <c r="E69" s="14" t="s">
        <v>55</v>
      </c>
      <c r="F69" s="14" t="s">
        <v>56</v>
      </c>
      <c r="G69" s="14" t="s">
        <v>57</v>
      </c>
      <c r="H69" s="14" t="s">
        <v>146</v>
      </c>
    </row>
    <row r="70" spans="1:8" x14ac:dyDescent="0.3">
      <c r="A70" s="6" t="s">
        <v>147</v>
      </c>
      <c r="B70" s="40">
        <v>0</v>
      </c>
      <c r="C70" s="40">
        <v>1</v>
      </c>
      <c r="D70" s="40">
        <v>2</v>
      </c>
      <c r="E70" s="40">
        <v>3</v>
      </c>
      <c r="F70" s="40">
        <v>4</v>
      </c>
      <c r="G70" s="40">
        <v>5</v>
      </c>
    </row>
    <row r="71" spans="1:8" x14ac:dyDescent="0.3">
      <c r="A71" s="41" t="s">
        <v>148</v>
      </c>
      <c r="B71" s="41"/>
      <c r="C71" s="41"/>
      <c r="D71" s="41"/>
      <c r="E71" s="41"/>
      <c r="F71" s="41"/>
      <c r="G71" s="41"/>
      <c r="H71" s="41"/>
    </row>
    <row r="72" spans="1:8" x14ac:dyDescent="0.3">
      <c r="A72" s="8" t="s">
        <v>149</v>
      </c>
      <c r="B72" s="42">
        <v>0</v>
      </c>
      <c r="C72" s="43">
        <f>Supuestos!B25*Supuestos!$B$55</f>
        <v>1</v>
      </c>
      <c r="D72" s="43">
        <f>Supuestos!C25*Supuestos!$B$55</f>
        <v>2</v>
      </c>
      <c r="E72" s="43">
        <f>Supuestos!D25*Supuestos!$B$55</f>
        <v>4</v>
      </c>
      <c r="F72" s="43">
        <f>Supuestos!E25*Supuestos!$B$55</f>
        <v>7</v>
      </c>
      <c r="G72" s="43">
        <f>Supuestos!F25*Supuestos!$B$55</f>
        <v>11</v>
      </c>
      <c r="H72" s="42"/>
    </row>
    <row r="73" spans="1:8" x14ac:dyDescent="0.3">
      <c r="A73" s="8" t="s">
        <v>150</v>
      </c>
      <c r="B73" s="42">
        <v>0</v>
      </c>
      <c r="C73" s="43">
        <f>Supuestos!B26*Supuestos!$B$55</f>
        <v>1</v>
      </c>
      <c r="D73" s="43">
        <f>Supuestos!C26*Supuestos!$B$55</f>
        <v>2</v>
      </c>
      <c r="E73" s="43">
        <f>Supuestos!D26*Supuestos!$B$55</f>
        <v>4</v>
      </c>
      <c r="F73" s="43">
        <f>Supuestos!E26*Supuestos!$B$55</f>
        <v>7</v>
      </c>
      <c r="G73" s="43">
        <f>Supuestos!F26*Supuestos!$B$55</f>
        <v>13</v>
      </c>
      <c r="H73" s="42"/>
    </row>
    <row r="74" spans="1:8" x14ac:dyDescent="0.3">
      <c r="A74" s="8" t="s">
        <v>151</v>
      </c>
      <c r="B74" s="42">
        <v>0</v>
      </c>
      <c r="C74" s="43">
        <f>Supuestos!B27*Supuestos!$B$55</f>
        <v>0</v>
      </c>
      <c r="D74" s="43">
        <f>Supuestos!C27*Supuestos!$B$55</f>
        <v>1</v>
      </c>
      <c r="E74" s="43">
        <f>Supuestos!D27*Supuestos!$B$55</f>
        <v>2</v>
      </c>
      <c r="F74" s="43">
        <f>Supuestos!E27*Supuestos!$B$55</f>
        <v>4</v>
      </c>
      <c r="G74" s="43">
        <f>Supuestos!F27*Supuestos!$B$55</f>
        <v>6</v>
      </c>
      <c r="H74" s="42"/>
    </row>
    <row r="75" spans="1:8" x14ac:dyDescent="0.3">
      <c r="A75" s="20" t="s">
        <v>152</v>
      </c>
      <c r="B75" s="44"/>
      <c r="C75" s="44">
        <f>SUM(C72:C74)</f>
        <v>2</v>
      </c>
      <c r="D75" s="44">
        <f>SUM(D72:D74)</f>
        <v>5</v>
      </c>
      <c r="E75" s="44">
        <f>SUM(E72:E74)</f>
        <v>10</v>
      </c>
      <c r="F75" s="44">
        <f>SUM(F72:F74)</f>
        <v>18</v>
      </c>
      <c r="G75" s="44">
        <f>SUM(G72:G74)</f>
        <v>30</v>
      </c>
      <c r="H75" s="44"/>
    </row>
    <row r="76" spans="1:8" x14ac:dyDescent="0.3">
      <c r="A76" s="41" t="s">
        <v>153</v>
      </c>
      <c r="B76" s="41"/>
      <c r="C76" s="41"/>
      <c r="D76" s="41"/>
      <c r="E76" s="41"/>
      <c r="F76" s="41"/>
      <c r="G76" s="41"/>
      <c r="H76" s="41"/>
    </row>
    <row r="77" spans="1:8" x14ac:dyDescent="0.3">
      <c r="A77" s="8" t="s">
        <v>149</v>
      </c>
      <c r="B77" s="45"/>
      <c r="C77" s="45">
        <f t="shared" ref="C77:G79" si="4">(B72+C72)/2</f>
        <v>0.5</v>
      </c>
      <c r="D77" s="45">
        <f t="shared" si="4"/>
        <v>1.5</v>
      </c>
      <c r="E77" s="45">
        <f t="shared" si="4"/>
        <v>3</v>
      </c>
      <c r="F77" s="45">
        <f t="shared" si="4"/>
        <v>5.5</v>
      </c>
      <c r="G77" s="45">
        <f t="shared" si="4"/>
        <v>9</v>
      </c>
      <c r="H77" s="45"/>
    </row>
    <row r="78" spans="1:8" x14ac:dyDescent="0.3">
      <c r="A78" s="8" t="s">
        <v>150</v>
      </c>
      <c r="B78" s="45"/>
      <c r="C78" s="45">
        <f t="shared" si="4"/>
        <v>0.5</v>
      </c>
      <c r="D78" s="45">
        <f t="shared" si="4"/>
        <v>1.5</v>
      </c>
      <c r="E78" s="45">
        <f t="shared" si="4"/>
        <v>3</v>
      </c>
      <c r="F78" s="45">
        <f t="shared" si="4"/>
        <v>5.5</v>
      </c>
      <c r="G78" s="45">
        <f t="shared" si="4"/>
        <v>10</v>
      </c>
      <c r="H78" s="45"/>
    </row>
    <row r="79" spans="1:8" x14ac:dyDescent="0.3">
      <c r="A79" s="8" t="s">
        <v>151</v>
      </c>
      <c r="B79" s="45"/>
      <c r="C79" s="45">
        <f t="shared" si="4"/>
        <v>0</v>
      </c>
      <c r="D79" s="45">
        <f t="shared" si="4"/>
        <v>0.5</v>
      </c>
      <c r="E79" s="45">
        <f t="shared" si="4"/>
        <v>1.5</v>
      </c>
      <c r="F79" s="45">
        <f t="shared" si="4"/>
        <v>3</v>
      </c>
      <c r="G79" s="45">
        <f t="shared" si="4"/>
        <v>5</v>
      </c>
      <c r="H79" s="45"/>
    </row>
    <row r="80" spans="1:8" x14ac:dyDescent="0.3">
      <c r="A80" s="20" t="s">
        <v>154</v>
      </c>
      <c r="B80" s="44"/>
      <c r="C80" s="44">
        <f>SUM(C77:C79)</f>
        <v>1</v>
      </c>
      <c r="D80" s="44">
        <f>SUM(D77:D79)</f>
        <v>3.5</v>
      </c>
      <c r="E80" s="44">
        <f>SUM(E77:E79)</f>
        <v>7.5</v>
      </c>
      <c r="F80" s="44">
        <f>SUM(F77:F79)</f>
        <v>14</v>
      </c>
      <c r="G80" s="44">
        <f>SUM(G77:G79)</f>
        <v>24</v>
      </c>
      <c r="H80" s="44">
        <f>SUM(C80:G80)</f>
        <v>50</v>
      </c>
    </row>
    <row r="81" spans="1:8" x14ac:dyDescent="0.3">
      <c r="A81" s="41" t="s">
        <v>155</v>
      </c>
      <c r="B81" s="41"/>
      <c r="C81" s="41"/>
      <c r="D81" s="41"/>
      <c r="E81" s="41"/>
      <c r="F81" s="41"/>
      <c r="G81" s="41"/>
      <c r="H81" s="41"/>
    </row>
    <row r="82" spans="1:8" x14ac:dyDescent="0.3">
      <c r="A82" s="8" t="s">
        <v>156</v>
      </c>
      <c r="B82" s="45"/>
      <c r="C82" s="45">
        <f t="shared" ref="C82:G84" si="5">MAX(0,C72-B72)</f>
        <v>1</v>
      </c>
      <c r="D82" s="45">
        <f t="shared" si="5"/>
        <v>1</v>
      </c>
      <c r="E82" s="45">
        <f t="shared" si="5"/>
        <v>2</v>
      </c>
      <c r="F82" s="45">
        <f t="shared" si="5"/>
        <v>3</v>
      </c>
      <c r="G82" s="45">
        <f t="shared" si="5"/>
        <v>4</v>
      </c>
      <c r="H82" s="45"/>
    </row>
    <row r="83" spans="1:8" x14ac:dyDescent="0.3">
      <c r="A83" s="8" t="s">
        <v>157</v>
      </c>
      <c r="B83" s="45"/>
      <c r="C83" s="45">
        <f t="shared" si="5"/>
        <v>1</v>
      </c>
      <c r="D83" s="45">
        <f t="shared" si="5"/>
        <v>1</v>
      </c>
      <c r="E83" s="45">
        <f t="shared" si="5"/>
        <v>2</v>
      </c>
      <c r="F83" s="45">
        <f t="shared" si="5"/>
        <v>3</v>
      </c>
      <c r="G83" s="45">
        <f t="shared" si="5"/>
        <v>6</v>
      </c>
      <c r="H83" s="45"/>
    </row>
    <row r="84" spans="1:8" x14ac:dyDescent="0.3">
      <c r="A84" s="8" t="s">
        <v>158</v>
      </c>
      <c r="B84" s="45"/>
      <c r="C84" s="45">
        <f t="shared" si="5"/>
        <v>0</v>
      </c>
      <c r="D84" s="45">
        <f t="shared" si="5"/>
        <v>1</v>
      </c>
      <c r="E84" s="45">
        <f t="shared" si="5"/>
        <v>1</v>
      </c>
      <c r="F84" s="45">
        <f t="shared" si="5"/>
        <v>2</v>
      </c>
      <c r="G84" s="45">
        <f t="shared" si="5"/>
        <v>2</v>
      </c>
      <c r="H84" s="45"/>
    </row>
    <row r="85" spans="1:8" x14ac:dyDescent="0.3">
      <c r="A85" s="20" t="s">
        <v>159</v>
      </c>
      <c r="B85" s="44"/>
      <c r="C85" s="44">
        <f>SUM(C82:C84)</f>
        <v>2</v>
      </c>
      <c r="D85" s="44">
        <f>SUM(D82:D84)</f>
        <v>3</v>
      </c>
      <c r="E85" s="44">
        <f>SUM(E82:E84)</f>
        <v>5</v>
      </c>
      <c r="F85" s="44">
        <f>SUM(F82:F84)</f>
        <v>8</v>
      </c>
      <c r="G85" s="44">
        <f>SUM(G82:G84)</f>
        <v>12</v>
      </c>
      <c r="H85" s="44">
        <f>SUM(C85:G85)</f>
        <v>30</v>
      </c>
    </row>
    <row r="86" spans="1:8" x14ac:dyDescent="0.3">
      <c r="A86" s="8" t="s">
        <v>160</v>
      </c>
      <c r="B86" s="45"/>
      <c r="C86" s="45">
        <f>C85+B72*Supuestos!$E$18+B73*Supuestos!$E$19+B74*Supuestos!$E$20</f>
        <v>2</v>
      </c>
      <c r="D86" s="45">
        <f>D85+C72*Supuestos!$E$18+C73*Supuestos!$E$19+C74*Supuestos!$E$20</f>
        <v>3.2</v>
      </c>
      <c r="E86" s="45">
        <f>E85+D72*Supuestos!$E$18+D73*Supuestos!$E$19+D74*Supuestos!$E$20</f>
        <v>5.45</v>
      </c>
      <c r="F86" s="45">
        <f>F85+E72*Supuestos!$E$18+E73*Supuestos!$E$19+E74*Supuestos!$E$20</f>
        <v>8.9</v>
      </c>
      <c r="G86" s="45">
        <f>G85+F72*Supuestos!$E$18+F73*Supuestos!$E$19+F74*Supuestos!$E$20</f>
        <v>13.6</v>
      </c>
      <c r="H86" s="45">
        <f>SUM(C86:G86)</f>
        <v>33.15</v>
      </c>
    </row>
    <row r="87" spans="1:8" x14ac:dyDescent="0.3">
      <c r="A87" s="41" t="s">
        <v>161</v>
      </c>
      <c r="B87" s="41"/>
      <c r="C87" s="41"/>
      <c r="D87" s="41"/>
      <c r="E87" s="41"/>
      <c r="F87" s="41"/>
      <c r="G87" s="41"/>
      <c r="H87" s="41"/>
    </row>
    <row r="88" spans="1:8" x14ac:dyDescent="0.3">
      <c r="A88" s="8" t="s">
        <v>162</v>
      </c>
      <c r="B88" s="46"/>
      <c r="C88" s="46">
        <f>C77*Supuestos!$B$18*Supuestos!$C$55*12</f>
        <v>15000</v>
      </c>
      <c r="D88" s="46">
        <f>D77*Supuestos!$B$18*Supuestos!$C$55*12</f>
        <v>45000</v>
      </c>
      <c r="E88" s="46">
        <f>E77*Supuestos!$B$18*Supuestos!$C$55*12</f>
        <v>90000</v>
      </c>
      <c r="F88" s="46">
        <f>F77*Supuestos!$B$18*Supuestos!$C$55*12</f>
        <v>165000</v>
      </c>
      <c r="G88" s="46">
        <f>G77*Supuestos!$B$18*Supuestos!$C$55*12</f>
        <v>270000</v>
      </c>
      <c r="H88" s="46">
        <f t="shared" ref="H88:H93" si="6">SUM(C88:G88)</f>
        <v>585000</v>
      </c>
    </row>
    <row r="89" spans="1:8" x14ac:dyDescent="0.3">
      <c r="A89" s="8" t="s">
        <v>163</v>
      </c>
      <c r="B89" s="46"/>
      <c r="C89" s="46">
        <f>C78*Supuestos!$B$19*Supuestos!$C$55*12</f>
        <v>30000</v>
      </c>
      <c r="D89" s="46">
        <f>D78*Supuestos!$B$19*Supuestos!$C$55*12</f>
        <v>90000</v>
      </c>
      <c r="E89" s="46">
        <f>E78*Supuestos!$B$19*Supuestos!$C$55*12</f>
        <v>180000</v>
      </c>
      <c r="F89" s="46">
        <f>F78*Supuestos!$B$19*Supuestos!$C$55*12</f>
        <v>330000</v>
      </c>
      <c r="G89" s="46">
        <f>G78*Supuestos!$B$19*Supuestos!$C$55*12</f>
        <v>600000</v>
      </c>
      <c r="H89" s="46">
        <f t="shared" si="6"/>
        <v>1230000</v>
      </c>
    </row>
    <row r="90" spans="1:8" x14ac:dyDescent="0.3">
      <c r="A90" s="8" t="s">
        <v>164</v>
      </c>
      <c r="B90" s="46"/>
      <c r="C90" s="46">
        <f>C79*Supuestos!$B$20*Supuestos!$C$55*12</f>
        <v>0</v>
      </c>
      <c r="D90" s="46">
        <f>D79*Supuestos!$B$20*Supuestos!$C$55*12</f>
        <v>54000</v>
      </c>
      <c r="E90" s="46">
        <f>E79*Supuestos!$B$20*Supuestos!$C$55*12</f>
        <v>162000</v>
      </c>
      <c r="F90" s="46">
        <f>F79*Supuestos!$B$20*Supuestos!$C$55*12</f>
        <v>324000</v>
      </c>
      <c r="G90" s="46">
        <f>G79*Supuestos!$B$20*Supuestos!$C$55*12</f>
        <v>540000</v>
      </c>
      <c r="H90" s="46">
        <f t="shared" si="6"/>
        <v>1080000</v>
      </c>
    </row>
    <row r="91" spans="1:8" x14ac:dyDescent="0.3">
      <c r="A91" s="20" t="s">
        <v>165</v>
      </c>
      <c r="B91" s="47"/>
      <c r="C91" s="47">
        <f>SUM(C88:C90)</f>
        <v>45000</v>
      </c>
      <c r="D91" s="47">
        <f>SUM(D88:D90)</f>
        <v>189000</v>
      </c>
      <c r="E91" s="47">
        <f>SUM(E88:E90)</f>
        <v>432000</v>
      </c>
      <c r="F91" s="47">
        <f>SUM(F88:F90)</f>
        <v>819000</v>
      </c>
      <c r="G91" s="47">
        <f>SUM(G88:G90)</f>
        <v>1410000</v>
      </c>
      <c r="H91" s="47">
        <f t="shared" si="6"/>
        <v>2895000</v>
      </c>
    </row>
    <row r="92" spans="1:8" x14ac:dyDescent="0.3">
      <c r="A92" s="8" t="s">
        <v>166</v>
      </c>
      <c r="B92" s="46"/>
      <c r="C92" s="46">
        <f>(C82*Supuestos!$C$18+C83*Supuestos!$C$19+C84*Supuestos!$C$20)*Supuestos!$C$55</f>
        <v>15000</v>
      </c>
      <c r="D92" s="46">
        <f>(D82*Supuestos!$C$18+D83*Supuestos!$C$19+D84*Supuestos!$C$20)*Supuestos!$C$55</f>
        <v>35000</v>
      </c>
      <c r="E92" s="46">
        <f>(E82*Supuestos!$C$18+E83*Supuestos!$C$19+E84*Supuestos!$C$20)*Supuestos!$C$55</f>
        <v>50000</v>
      </c>
      <c r="F92" s="46">
        <f>(F82*Supuestos!$C$18+F83*Supuestos!$C$19+F84*Supuestos!$C$20)*Supuestos!$C$55</f>
        <v>85000</v>
      </c>
      <c r="G92" s="46">
        <f>(G82*Supuestos!$C$18+G83*Supuestos!$C$19+G84*Supuestos!$C$20)*Supuestos!$C$55</f>
        <v>120000</v>
      </c>
      <c r="H92" s="46">
        <f t="shared" si="6"/>
        <v>305000</v>
      </c>
    </row>
    <row r="93" spans="1:8" x14ac:dyDescent="0.3">
      <c r="A93" s="20" t="s">
        <v>167</v>
      </c>
      <c r="B93" s="47"/>
      <c r="C93" s="47">
        <f>C91+C92</f>
        <v>60000</v>
      </c>
      <c r="D93" s="47">
        <f>D91+D92</f>
        <v>224000</v>
      </c>
      <c r="E93" s="47">
        <f>E91+E92</f>
        <v>482000</v>
      </c>
      <c r="F93" s="47">
        <f>F91+F92</f>
        <v>904000</v>
      </c>
      <c r="G93" s="47">
        <f>G91+G92</f>
        <v>1530000</v>
      </c>
      <c r="H93" s="47">
        <f t="shared" si="6"/>
        <v>3200000</v>
      </c>
    </row>
    <row r="94" spans="1:8" x14ac:dyDescent="0.3">
      <c r="A94" s="41" t="s">
        <v>168</v>
      </c>
      <c r="B94" s="41"/>
      <c r="C94" s="41"/>
      <c r="D94" s="41"/>
      <c r="E94" s="41"/>
      <c r="F94" s="41"/>
      <c r="G94" s="41"/>
      <c r="H94" s="41"/>
    </row>
    <row r="95" spans="1:8" x14ac:dyDescent="0.3">
      <c r="A95" s="8" t="s">
        <v>169</v>
      </c>
      <c r="B95" s="46"/>
      <c r="C95" s="46">
        <f>(C88*Supuestos!$D$18+C89*Supuestos!$D$19+C90*Supuestos!$D$20)*Supuestos!$D$55</f>
        <v>6000</v>
      </c>
      <c r="D95" s="46">
        <f>(D88*Supuestos!$D$18+D89*Supuestos!$D$19+D90*Supuestos!$D$20)*Supuestos!$D$55</f>
        <v>29880</v>
      </c>
      <c r="E95" s="46">
        <f>(E88*Supuestos!$D$18+E89*Supuestos!$D$19+E90*Supuestos!$D$20)*Supuestos!$D$55</f>
        <v>71640</v>
      </c>
      <c r="F95" s="46">
        <f>(F88*Supuestos!$D$18+F89*Supuestos!$D$19+F90*Supuestos!$D$20)*Supuestos!$D$55</f>
        <v>137280</v>
      </c>
      <c r="G95" s="46">
        <f>(G88*Supuestos!$D$18+G89*Supuestos!$D$19+G90*Supuestos!$D$20)*Supuestos!$D$55</f>
        <v>235800</v>
      </c>
      <c r="H95" s="46">
        <f>SUM(C95:G95)</f>
        <v>480600</v>
      </c>
    </row>
    <row r="96" spans="1:8" x14ac:dyDescent="0.3">
      <c r="A96" s="8" t="s">
        <v>170</v>
      </c>
      <c r="B96" s="46"/>
      <c r="C96" s="46">
        <f>C92*Supuestos!$B$9</f>
        <v>4500</v>
      </c>
      <c r="D96" s="46">
        <f>D92*Supuestos!$B$9</f>
        <v>10500</v>
      </c>
      <c r="E96" s="46">
        <f>E92*Supuestos!$B$9</f>
        <v>15000</v>
      </c>
      <c r="F96" s="46">
        <f>F92*Supuestos!$B$9</f>
        <v>25500</v>
      </c>
      <c r="G96" s="46">
        <f>G92*Supuestos!$B$9</f>
        <v>36000</v>
      </c>
      <c r="H96" s="46">
        <f>SUM(C96:G96)</f>
        <v>91500</v>
      </c>
    </row>
    <row r="97" spans="1:8" x14ac:dyDescent="0.3">
      <c r="A97" s="20" t="s">
        <v>171</v>
      </c>
      <c r="B97" s="47"/>
      <c r="C97" s="47">
        <f>C95+C96</f>
        <v>10500</v>
      </c>
      <c r="D97" s="47">
        <f>D95+D96</f>
        <v>40380</v>
      </c>
      <c r="E97" s="47">
        <f>E95+E96</f>
        <v>86640</v>
      </c>
      <c r="F97" s="47">
        <f>F95+F96</f>
        <v>162780</v>
      </c>
      <c r="G97" s="47">
        <f>G95+G96</f>
        <v>271800</v>
      </c>
      <c r="H97" s="47">
        <f>SUM(C97:G97)</f>
        <v>572100</v>
      </c>
    </row>
    <row r="98" spans="1:8" x14ac:dyDescent="0.3">
      <c r="A98" s="8" t="s">
        <v>172</v>
      </c>
      <c r="B98" s="46"/>
      <c r="C98" s="48">
        <f>Supuestos!B$32*Supuestos!$E$55</f>
        <v>150000</v>
      </c>
      <c r="D98" s="48">
        <f>Supuestos!C$32*Supuestos!$E$55</f>
        <v>210000</v>
      </c>
      <c r="E98" s="48">
        <f>Supuestos!D$32*Supuestos!$E$55</f>
        <v>300000</v>
      </c>
      <c r="F98" s="48">
        <f>Supuestos!E$32*Supuestos!$E$55</f>
        <v>400000</v>
      </c>
      <c r="G98" s="48">
        <f>Supuestos!F$32*Supuestos!$E$55</f>
        <v>550000</v>
      </c>
      <c r="H98" s="46">
        <f>SUM(C98:G98)</f>
        <v>1610000</v>
      </c>
    </row>
    <row r="99" spans="1:8" x14ac:dyDescent="0.3">
      <c r="A99" s="20" t="s">
        <v>173</v>
      </c>
      <c r="B99" s="47"/>
      <c r="C99" s="47">
        <f>C97+C98</f>
        <v>160500</v>
      </c>
      <c r="D99" s="47">
        <f>D97+D98</f>
        <v>250380</v>
      </c>
      <c r="E99" s="47">
        <f>E97+E98</f>
        <v>386640</v>
      </c>
      <c r="F99" s="47">
        <f>F97+F98</f>
        <v>562780</v>
      </c>
      <c r="G99" s="47">
        <f>G97+G98</f>
        <v>821800</v>
      </c>
      <c r="H99" s="47">
        <f>SUM(C99:G99)</f>
        <v>2182100</v>
      </c>
    </row>
    <row r="100" spans="1:8" x14ac:dyDescent="0.3">
      <c r="A100" s="41" t="s">
        <v>174</v>
      </c>
      <c r="B100" s="41"/>
      <c r="C100" s="41"/>
      <c r="D100" s="41"/>
      <c r="E100" s="41"/>
      <c r="F100" s="41"/>
      <c r="G100" s="41"/>
      <c r="H100" s="41"/>
    </row>
    <row r="101" spans="1:8" x14ac:dyDescent="0.3">
      <c r="A101" s="20" t="s">
        <v>175</v>
      </c>
      <c r="B101" s="47"/>
      <c r="C101" s="47">
        <f>C93-C99</f>
        <v>-100500</v>
      </c>
      <c r="D101" s="47">
        <f>D93-D99</f>
        <v>-26380</v>
      </c>
      <c r="E101" s="47">
        <f>E93-E99</f>
        <v>95360</v>
      </c>
      <c r="F101" s="47">
        <f>F93-F99</f>
        <v>341220</v>
      </c>
      <c r="G101" s="47">
        <f>G93-G99</f>
        <v>708200</v>
      </c>
      <c r="H101" s="47">
        <f>SUM(C101:G101)</f>
        <v>1017900</v>
      </c>
    </row>
    <row r="102" spans="1:8" x14ac:dyDescent="0.3">
      <c r="A102" s="8" t="s">
        <v>176</v>
      </c>
      <c r="B102" s="49"/>
      <c r="C102" s="49">
        <f>IF(C93=0,0,C101/C93)</f>
        <v>-1.675</v>
      </c>
      <c r="D102" s="49">
        <f>IF(D93=0,0,D101/D93)</f>
        <v>-0.11776785714285715</v>
      </c>
      <c r="E102" s="49">
        <f>IF(E93=0,0,E101/E93)</f>
        <v>0.1978423236514523</v>
      </c>
      <c r="F102" s="49">
        <f>IF(F93=0,0,F101/F93)</f>
        <v>0.37745575221238936</v>
      </c>
      <c r="G102" s="49">
        <f>IF(G93=0,0,G101/G93)</f>
        <v>0.46287581699346403</v>
      </c>
      <c r="H102" s="49"/>
    </row>
    <row r="103" spans="1:8" x14ac:dyDescent="0.3">
      <c r="A103" s="8" t="s">
        <v>177</v>
      </c>
      <c r="B103" s="46"/>
      <c r="C103" s="46">
        <f>IF(C70&lt;=Supuestos!$B$11,Supuestos!$B$50/Supuestos!$B$11,0)</f>
        <v>44000</v>
      </c>
      <c r="D103" s="46">
        <f>IF(D70&lt;=Supuestos!$B$11,Supuestos!$B$50/Supuestos!$B$11,0)</f>
        <v>44000</v>
      </c>
      <c r="E103" s="46">
        <f>IF(E70&lt;=Supuestos!$B$11,Supuestos!$B$50/Supuestos!$B$11,0)</f>
        <v>44000</v>
      </c>
      <c r="F103" s="46">
        <f>IF(F70&lt;=Supuestos!$B$11,Supuestos!$B$50/Supuestos!$B$11,0)</f>
        <v>44000</v>
      </c>
      <c r="G103" s="46">
        <f>IF(G70&lt;=Supuestos!$B$11,Supuestos!$B$50/Supuestos!$B$11,0)</f>
        <v>44000</v>
      </c>
      <c r="H103" s="46">
        <f>SUM(C103:G103)</f>
        <v>220000</v>
      </c>
    </row>
    <row r="104" spans="1:8" x14ac:dyDescent="0.3">
      <c r="A104" s="20" t="s">
        <v>178</v>
      </c>
      <c r="B104" s="47"/>
      <c r="C104" s="47">
        <f>C101-C103</f>
        <v>-144500</v>
      </c>
      <c r="D104" s="47">
        <f>D101-D103</f>
        <v>-70380</v>
      </c>
      <c r="E104" s="47">
        <f>E101-E103</f>
        <v>51360</v>
      </c>
      <c r="F104" s="47">
        <f>F101-F103</f>
        <v>297220</v>
      </c>
      <c r="G104" s="47">
        <f>G101-G103</f>
        <v>664200</v>
      </c>
      <c r="H104" s="47">
        <f>SUM(C104:G104)</f>
        <v>797900</v>
      </c>
    </row>
    <row r="105" spans="1:8" x14ac:dyDescent="0.3">
      <c r="A105" s="6" t="s">
        <v>179</v>
      </c>
      <c r="B105" s="50"/>
      <c r="C105" s="50">
        <f>0</f>
        <v>0</v>
      </c>
      <c r="D105" s="50">
        <f>C107</f>
        <v>144500</v>
      </c>
      <c r="E105" s="50">
        <f>D107</f>
        <v>214880</v>
      </c>
      <c r="F105" s="50">
        <f>E107</f>
        <v>163520</v>
      </c>
      <c r="G105" s="50">
        <f>F107</f>
        <v>0</v>
      </c>
      <c r="H105" s="50"/>
    </row>
    <row r="106" spans="1:8" x14ac:dyDescent="0.3">
      <c r="A106" s="6" t="s">
        <v>180</v>
      </c>
      <c r="B106" s="50"/>
      <c r="C106" s="50">
        <f>MIN(C105,MAX(C104,0))</f>
        <v>0</v>
      </c>
      <c r="D106" s="50">
        <f>MIN(D105,MAX(D104,0))</f>
        <v>0</v>
      </c>
      <c r="E106" s="50">
        <f>MIN(E105,MAX(E104,0))</f>
        <v>51360</v>
      </c>
      <c r="F106" s="50">
        <f>MIN(F105,MAX(F104,0))</f>
        <v>163520</v>
      </c>
      <c r="G106" s="50">
        <f>MIN(G105,MAX(G104,0))</f>
        <v>0</v>
      </c>
      <c r="H106" s="50"/>
    </row>
    <row r="107" spans="1:8" x14ac:dyDescent="0.3">
      <c r="A107" s="6" t="s">
        <v>181</v>
      </c>
      <c r="B107" s="50"/>
      <c r="C107" s="50">
        <f>C105+MAX(-C104,0)-C106</f>
        <v>144500</v>
      </c>
      <c r="D107" s="50">
        <f>D105+MAX(-D104,0)-D106</f>
        <v>214880</v>
      </c>
      <c r="E107" s="50">
        <f>E105+MAX(-E104,0)-E106</f>
        <v>163520</v>
      </c>
      <c r="F107" s="50">
        <f>F105+MAX(-F104,0)-F106</f>
        <v>0</v>
      </c>
      <c r="G107" s="50">
        <f>G105+MAX(-G104,0)-G106</f>
        <v>0</v>
      </c>
      <c r="H107" s="50"/>
    </row>
    <row r="108" spans="1:8" x14ac:dyDescent="0.3">
      <c r="A108" s="6" t="s">
        <v>182</v>
      </c>
      <c r="B108" s="50"/>
      <c r="C108" s="50">
        <f>MAX(C104,0)-C106</f>
        <v>0</v>
      </c>
      <c r="D108" s="50">
        <f>MAX(D104,0)-D106</f>
        <v>0</v>
      </c>
      <c r="E108" s="50">
        <f>MAX(E104,0)-E106</f>
        <v>0</v>
      </c>
      <c r="F108" s="50">
        <f>MAX(F104,0)-F106</f>
        <v>133700</v>
      </c>
      <c r="G108" s="50">
        <f>MAX(G104,0)-G106</f>
        <v>664200</v>
      </c>
      <c r="H108" s="50"/>
    </row>
    <row r="109" spans="1:8" x14ac:dyDescent="0.3">
      <c r="A109" s="6" t="s">
        <v>183</v>
      </c>
      <c r="B109" s="50"/>
      <c r="C109" s="50">
        <f>C108*Supuestos!$B$7</f>
        <v>0</v>
      </c>
      <c r="D109" s="50">
        <f>D108*Supuestos!$B$7</f>
        <v>0</v>
      </c>
      <c r="E109" s="50">
        <f>E108*Supuestos!$B$7</f>
        <v>0</v>
      </c>
      <c r="F109" s="50">
        <f>F108*Supuestos!$B$7</f>
        <v>40110</v>
      </c>
      <c r="G109" s="50">
        <f>G108*Supuestos!$B$7</f>
        <v>199260</v>
      </c>
      <c r="H109" s="50"/>
    </row>
    <row r="110" spans="1:8" x14ac:dyDescent="0.3">
      <c r="A110" s="6" t="s">
        <v>184</v>
      </c>
      <c r="B110" s="50"/>
      <c r="C110" s="50">
        <f>C93*Supuestos!$B$8</f>
        <v>600</v>
      </c>
      <c r="D110" s="50">
        <f>D93*Supuestos!$B$8</f>
        <v>2240</v>
      </c>
      <c r="E110" s="50">
        <f>E93*Supuestos!$B$8</f>
        <v>4820</v>
      </c>
      <c r="F110" s="50">
        <f>F93*Supuestos!$B$8</f>
        <v>9040</v>
      </c>
      <c r="G110" s="50">
        <f>G93*Supuestos!$B$8</f>
        <v>15300</v>
      </c>
      <c r="H110" s="50"/>
    </row>
    <row r="111" spans="1:8" x14ac:dyDescent="0.3">
      <c r="A111" s="8" t="s">
        <v>185</v>
      </c>
      <c r="B111" s="46"/>
      <c r="C111" s="46">
        <f>MAX(C109,C110)</f>
        <v>600</v>
      </c>
      <c r="D111" s="46">
        <f>MAX(D109,D110)</f>
        <v>2240</v>
      </c>
      <c r="E111" s="46">
        <f>MAX(E109,E110)</f>
        <v>4820</v>
      </c>
      <c r="F111" s="46">
        <f>MAX(F109,F110)</f>
        <v>40110</v>
      </c>
      <c r="G111" s="46">
        <f>MAX(G109,G110)</f>
        <v>199260</v>
      </c>
      <c r="H111" s="46">
        <f>SUM(C111:G111)</f>
        <v>247030</v>
      </c>
    </row>
    <row r="112" spans="1:8" x14ac:dyDescent="0.3">
      <c r="A112" s="20" t="s">
        <v>186</v>
      </c>
      <c r="B112" s="47"/>
      <c r="C112" s="47">
        <f>C104-C111</f>
        <v>-145100</v>
      </c>
      <c r="D112" s="47">
        <f>D104-D111</f>
        <v>-72620</v>
      </c>
      <c r="E112" s="47">
        <f>E104-E111</f>
        <v>46540</v>
      </c>
      <c r="F112" s="47">
        <f>F104-F111</f>
        <v>257110</v>
      </c>
      <c r="G112" s="47">
        <f>G104-G111</f>
        <v>464940</v>
      </c>
      <c r="H112" s="47">
        <f>SUM(C112:G112)</f>
        <v>550870</v>
      </c>
    </row>
    <row r="113" spans="1:8" x14ac:dyDescent="0.3">
      <c r="A113" s="41" t="s">
        <v>187</v>
      </c>
      <c r="B113" s="41"/>
      <c r="C113" s="41"/>
      <c r="D113" s="41"/>
      <c r="E113" s="41"/>
      <c r="F113" s="41"/>
      <c r="G113" s="41"/>
      <c r="H113" s="41"/>
    </row>
    <row r="114" spans="1:8" x14ac:dyDescent="0.3">
      <c r="A114" s="20" t="s">
        <v>188</v>
      </c>
      <c r="B114" s="51">
        <f>-Supuestos!$B$50</f>
        <v>-220000</v>
      </c>
      <c r="C114" s="47">
        <f>C112+C103</f>
        <v>-101100</v>
      </c>
      <c r="D114" s="47">
        <f>D112+D103</f>
        <v>-28620</v>
      </c>
      <c r="E114" s="47">
        <f>E112+E103</f>
        <v>90540</v>
      </c>
      <c r="F114" s="47">
        <f>F112+F103</f>
        <v>301110</v>
      </c>
      <c r="G114" s="47">
        <f>G112+G103</f>
        <v>508940</v>
      </c>
      <c r="H114" s="47">
        <f>SUM(C114:G114)</f>
        <v>770870</v>
      </c>
    </row>
    <row r="115" spans="1:8" x14ac:dyDescent="0.3">
      <c r="A115" s="8" t="s">
        <v>189</v>
      </c>
      <c r="B115" s="46">
        <f>B114</f>
        <v>-220000</v>
      </c>
      <c r="C115" s="46">
        <f>B115+C114</f>
        <v>-321100</v>
      </c>
      <c r="D115" s="46">
        <f>C115+D114</f>
        <v>-349720</v>
      </c>
      <c r="E115" s="46">
        <f>D115+E114</f>
        <v>-259180</v>
      </c>
      <c r="F115" s="46">
        <f>E115+F114</f>
        <v>41930</v>
      </c>
      <c r="G115" s="46">
        <f>F115+G114</f>
        <v>550870</v>
      </c>
      <c r="H115" s="46"/>
    </row>
    <row r="116" spans="1:8" x14ac:dyDescent="0.3">
      <c r="A116" s="6" t="s">
        <v>190</v>
      </c>
      <c r="B116" s="52">
        <f>1/(1+Supuestos!$B$6)^B70</f>
        <v>1</v>
      </c>
      <c r="C116" s="52">
        <f>1/(1+Supuestos!$B$6)^C70</f>
        <v>0.86956521739130443</v>
      </c>
      <c r="D116" s="52">
        <f>1/(1+Supuestos!$B$6)^D70</f>
        <v>0.7561436672967865</v>
      </c>
      <c r="E116" s="52">
        <f>1/(1+Supuestos!$B$6)^E70</f>
        <v>0.65751623243198831</v>
      </c>
      <c r="F116" s="52">
        <f>1/(1+Supuestos!$B$6)^F70</f>
        <v>0.57175324559303342</v>
      </c>
      <c r="G116" s="52">
        <f>1/(1+Supuestos!$B$6)^G70</f>
        <v>0.49717673529828987</v>
      </c>
      <c r="H116" s="52"/>
    </row>
    <row r="117" spans="1:8" x14ac:dyDescent="0.3">
      <c r="A117" s="8" t="s">
        <v>191</v>
      </c>
      <c r="B117" s="46">
        <f t="shared" ref="B117:G117" si="7">B114*B116</f>
        <v>-220000</v>
      </c>
      <c r="C117" s="46">
        <f t="shared" si="7"/>
        <v>-87913.043478260879</v>
      </c>
      <c r="D117" s="46">
        <f t="shared" si="7"/>
        <v>-21640.83175803403</v>
      </c>
      <c r="E117" s="46">
        <f t="shared" si="7"/>
        <v>59531.519684392224</v>
      </c>
      <c r="F117" s="46">
        <f t="shared" si="7"/>
        <v>172160.61978051829</v>
      </c>
      <c r="G117" s="46">
        <f t="shared" si="7"/>
        <v>253033.12766271166</v>
      </c>
      <c r="H117" s="46"/>
    </row>
    <row r="118" spans="1:8" x14ac:dyDescent="0.3">
      <c r="A118" s="8" t="s">
        <v>192</v>
      </c>
      <c r="B118" s="46">
        <f>B117</f>
        <v>-220000</v>
      </c>
      <c r="C118" s="46">
        <f>B118+C117</f>
        <v>-307913.04347826086</v>
      </c>
      <c r="D118" s="46">
        <f>C118+D117</f>
        <v>-329553.87523629487</v>
      </c>
      <c r="E118" s="46">
        <f>D118+E117</f>
        <v>-270022.35555190267</v>
      </c>
      <c r="F118" s="46">
        <f>E118+F117</f>
        <v>-97861.735771384381</v>
      </c>
      <c r="G118" s="46">
        <f>F118+G117</f>
        <v>155171.39189132728</v>
      </c>
      <c r="H118" s="46"/>
    </row>
    <row r="119" spans="1:8" x14ac:dyDescent="0.3">
      <c r="A119" s="6" t="s">
        <v>193</v>
      </c>
      <c r="B119" s="50"/>
      <c r="C119" s="50">
        <f>C99+C111</f>
        <v>161100</v>
      </c>
      <c r="D119" s="50">
        <f>D99+D111</f>
        <v>252620</v>
      </c>
      <c r="E119" s="50">
        <f>E99+E111</f>
        <v>391460</v>
      </c>
      <c r="F119" s="50">
        <f>F99+F111</f>
        <v>602890</v>
      </c>
      <c r="G119" s="50">
        <f>G99+G111</f>
        <v>1021060</v>
      </c>
      <c r="H119" s="50"/>
    </row>
    <row r="120" spans="1:8" x14ac:dyDescent="0.3">
      <c r="A120" s="6" t="s">
        <v>194</v>
      </c>
      <c r="B120" s="53"/>
      <c r="C120" s="53" t="str">
        <f>IF(AND(B115&lt;0,C115&gt;=0),B70+(-B115)/C114,"")</f>
        <v/>
      </c>
      <c r="D120" s="53" t="str">
        <f>IF(AND(C115&lt;0,D115&gt;=0),C70+(-C115)/D114,"")</f>
        <v/>
      </c>
      <c r="E120" s="53" t="str">
        <f>IF(AND(D115&lt;0,E115&gt;=0),D70+(-D115)/E114,"")</f>
        <v/>
      </c>
      <c r="F120" s="53">
        <f>IF(AND(E115&lt;0,F115&gt;=0),E70+(-E115)/F114,"")</f>
        <v>3.8607485636478365</v>
      </c>
      <c r="G120" s="53" t="str">
        <f>IF(AND(F115&lt;0,G115&gt;=0),F70+(-F115)/G114,"")</f>
        <v/>
      </c>
      <c r="H120" s="53"/>
    </row>
    <row r="121" spans="1:8" x14ac:dyDescent="0.3">
      <c r="A121" s="6" t="s">
        <v>195</v>
      </c>
      <c r="B121" s="53"/>
      <c r="C121" s="53" t="str">
        <f>IF(AND(B118&lt;0,C118&gt;=0),B70+(-B118)/C117,"")</f>
        <v/>
      </c>
      <c r="D121" s="53" t="str">
        <f>IF(AND(C118&lt;0,D118&gt;=0),C70+(-C118)/D117,"")</f>
        <v/>
      </c>
      <c r="E121" s="53" t="str">
        <f>IF(AND(D118&lt;0,E118&gt;=0),D70+(-D118)/E117,"")</f>
        <v/>
      </c>
      <c r="F121" s="53" t="str">
        <f>IF(AND(E118&lt;0,F118&gt;=0),E70+(-E118)/F117,"")</f>
        <v/>
      </c>
      <c r="G121" s="53">
        <f>IF(AND(F118&lt;0,G118&gt;=0),F70+(-F118)/G117,"")</f>
        <v>4.3867546383168934</v>
      </c>
      <c r="H121" s="53"/>
    </row>
    <row r="122" spans="1:8" x14ac:dyDescent="0.3">
      <c r="A122" s="41" t="s">
        <v>196</v>
      </c>
      <c r="B122" s="41"/>
      <c r="C122" s="41"/>
      <c r="D122" s="41"/>
      <c r="E122" s="41"/>
      <c r="F122" s="41"/>
      <c r="G122" s="41"/>
      <c r="H122" s="41"/>
    </row>
    <row r="123" spans="1:8" x14ac:dyDescent="0.3">
      <c r="A123" s="15" t="s">
        <v>4</v>
      </c>
      <c r="B123" s="54">
        <f>SUM(B117:G117)</f>
        <v>155171.39189132728</v>
      </c>
      <c r="C123" s="55"/>
      <c r="D123" s="55"/>
      <c r="E123" s="55"/>
      <c r="F123" s="55"/>
      <c r="G123" s="55"/>
      <c r="H123" s="55"/>
    </row>
    <row r="124" spans="1:8" x14ac:dyDescent="0.3">
      <c r="A124" s="15" t="s">
        <v>5</v>
      </c>
      <c r="B124" s="56">
        <f>IFERROR(IRR(B114:G114),"n/d")</f>
        <v>0.26661660915823648</v>
      </c>
      <c r="C124" s="57"/>
      <c r="D124" s="57"/>
      <c r="E124" s="57"/>
      <c r="F124" s="57"/>
      <c r="G124" s="57"/>
      <c r="H124" s="57"/>
    </row>
    <row r="125" spans="1:8" x14ac:dyDescent="0.3">
      <c r="A125" s="15" t="s">
        <v>197</v>
      </c>
      <c r="B125" s="58">
        <f>IF(COUNT(C120:G120)=0,"No se recupera",MIN(C120:G120))</f>
        <v>3.8607485636478365</v>
      </c>
      <c r="C125" s="59"/>
      <c r="D125" s="59"/>
      <c r="E125" s="59"/>
      <c r="F125" s="59"/>
      <c r="G125" s="59"/>
      <c r="H125" s="59"/>
    </row>
    <row r="126" spans="1:8" x14ac:dyDescent="0.3">
      <c r="A126" s="15" t="s">
        <v>198</v>
      </c>
      <c r="B126" s="58">
        <f>IF(COUNT(C121:G121)=0,"No se recupera",MIN(C121:G121))</f>
        <v>4.3867546383168934</v>
      </c>
      <c r="C126" s="59"/>
      <c r="D126" s="59"/>
      <c r="E126" s="59"/>
      <c r="F126" s="59"/>
      <c r="G126" s="59"/>
      <c r="H126" s="59"/>
    </row>
    <row r="127" spans="1:8" x14ac:dyDescent="0.3">
      <c r="A127" s="15" t="s">
        <v>199</v>
      </c>
      <c r="B127" s="58">
        <f>IFERROR(NPV(Supuestos!$B$6,C93:G93)/(Supuestos!$B$50+NPV(Supuestos!$B$6,C119:G119)),"n/d")</f>
        <v>1.0934290783200356</v>
      </c>
      <c r="C127" s="59"/>
      <c r="D127" s="59"/>
      <c r="E127" s="59"/>
      <c r="F127" s="59"/>
      <c r="G127" s="59"/>
      <c r="H127" s="59"/>
    </row>
    <row r="128" spans="1:8" x14ac:dyDescent="0.3">
      <c r="A128" s="15" t="s">
        <v>200</v>
      </c>
      <c r="B128" s="58">
        <f>IFERROR(SUMIF(C117:G117,"&gt;0")/(Supuestos!$B$50-SUMIF(C117:G117,"&lt;0")),"n/d")</f>
        <v>1.4708528818848423</v>
      </c>
      <c r="C128" s="59"/>
      <c r="D128" s="59"/>
      <c r="E128" s="59"/>
      <c r="F128" s="59"/>
      <c r="G128" s="59"/>
      <c r="H128" s="59"/>
    </row>
    <row r="129" spans="1:8" x14ac:dyDescent="0.3">
      <c r="A129" s="15" t="s">
        <v>201</v>
      </c>
      <c r="B129" s="58">
        <f>1+B123/Supuestos!$B$50</f>
        <v>1.7053245085969422</v>
      </c>
      <c r="C129" s="59"/>
      <c r="D129" s="59"/>
      <c r="E129" s="59"/>
      <c r="F129" s="59"/>
      <c r="G129" s="59"/>
      <c r="H129" s="59"/>
    </row>
    <row r="130" spans="1:8" x14ac:dyDescent="0.3">
      <c r="A130" s="15" t="s">
        <v>202</v>
      </c>
      <c r="B130" s="60">
        <f>(SUM(C114:G114)-Supuestos!$B$50)/Supuestos!$B$50</f>
        <v>2.5039545454545453</v>
      </c>
      <c r="C130" s="61"/>
      <c r="D130" s="61"/>
      <c r="E130" s="61"/>
      <c r="F130" s="61"/>
      <c r="G130" s="61"/>
      <c r="H130" s="61"/>
    </row>
    <row r="131" spans="1:8" x14ac:dyDescent="0.3">
      <c r="A131" s="15" t="s">
        <v>203</v>
      </c>
      <c r="B131" s="54">
        <f>-MIN(B115:G115)</f>
        <v>349720</v>
      </c>
      <c r="C131" s="55"/>
      <c r="D131" s="55"/>
      <c r="E131" s="55"/>
      <c r="F131" s="55"/>
      <c r="G131" s="55"/>
      <c r="H131" s="55"/>
    </row>
    <row r="132" spans="1:8" x14ac:dyDescent="0.3">
      <c r="A132" s="15" t="s">
        <v>204</v>
      </c>
      <c r="B132" s="54">
        <f>CEILING(B131*(1+Supuestos!$B$12),50000)</f>
        <v>400000</v>
      </c>
      <c r="C132" s="55"/>
      <c r="D132" s="55"/>
      <c r="E132" s="55"/>
      <c r="F132" s="55"/>
      <c r="G132" s="55"/>
      <c r="H132" s="55"/>
    </row>
    <row r="135" spans="1:8" ht="16.8" x14ac:dyDescent="0.3">
      <c r="A135" s="37" t="s">
        <v>287</v>
      </c>
    </row>
    <row r="136" spans="1:8" x14ac:dyDescent="0.3">
      <c r="A136" s="13" t="s">
        <v>144</v>
      </c>
      <c r="B136" s="14" t="s">
        <v>145</v>
      </c>
      <c r="C136" s="14" t="s">
        <v>53</v>
      </c>
      <c r="D136" s="14" t="s">
        <v>54</v>
      </c>
      <c r="E136" s="14" t="s">
        <v>55</v>
      </c>
      <c r="F136" s="14" t="s">
        <v>56</v>
      </c>
      <c r="G136" s="14" t="s">
        <v>57</v>
      </c>
      <c r="H136" s="14" t="s">
        <v>146</v>
      </c>
    </row>
    <row r="137" spans="1:8" x14ac:dyDescent="0.3">
      <c r="A137" s="6" t="s">
        <v>147</v>
      </c>
      <c r="B137" s="40">
        <v>0</v>
      </c>
      <c r="C137" s="40">
        <v>1</v>
      </c>
      <c r="D137" s="40">
        <v>2</v>
      </c>
      <c r="E137" s="40">
        <v>3</v>
      </c>
      <c r="F137" s="40">
        <v>4</v>
      </c>
      <c r="G137" s="40">
        <v>5</v>
      </c>
    </row>
    <row r="138" spans="1:8" x14ac:dyDescent="0.3">
      <c r="A138" s="41" t="s">
        <v>148</v>
      </c>
      <c r="B138" s="41"/>
      <c r="C138" s="41"/>
      <c r="D138" s="41"/>
      <c r="E138" s="41"/>
      <c r="F138" s="41"/>
      <c r="G138" s="41"/>
      <c r="H138" s="41"/>
    </row>
    <row r="139" spans="1:8" x14ac:dyDescent="0.3">
      <c r="A139" s="8" t="s">
        <v>149</v>
      </c>
      <c r="B139" s="42">
        <v>0</v>
      </c>
      <c r="C139" s="43">
        <f>Supuestos!B25*Supuestos!$B$56</f>
        <v>1.3</v>
      </c>
      <c r="D139" s="43">
        <f>Supuestos!C25*Supuestos!$B$56</f>
        <v>2.6</v>
      </c>
      <c r="E139" s="43">
        <f>Supuestos!D25*Supuestos!$B$56</f>
        <v>5.2</v>
      </c>
      <c r="F139" s="43">
        <f>Supuestos!E25*Supuestos!$B$56</f>
        <v>9.1</v>
      </c>
      <c r="G139" s="43">
        <f>Supuestos!F25*Supuestos!$B$56</f>
        <v>14.3</v>
      </c>
      <c r="H139" s="42"/>
    </row>
    <row r="140" spans="1:8" x14ac:dyDescent="0.3">
      <c r="A140" s="8" t="s">
        <v>150</v>
      </c>
      <c r="B140" s="42">
        <v>0</v>
      </c>
      <c r="C140" s="43">
        <f>Supuestos!B26*Supuestos!$B$56</f>
        <v>1.3</v>
      </c>
      <c r="D140" s="43">
        <f>Supuestos!C26*Supuestos!$B$56</f>
        <v>2.6</v>
      </c>
      <c r="E140" s="43">
        <f>Supuestos!D26*Supuestos!$B$56</f>
        <v>5.2</v>
      </c>
      <c r="F140" s="43">
        <f>Supuestos!E26*Supuestos!$B$56</f>
        <v>9.1</v>
      </c>
      <c r="G140" s="43">
        <f>Supuestos!F26*Supuestos!$B$56</f>
        <v>16.900000000000002</v>
      </c>
      <c r="H140" s="42"/>
    </row>
    <row r="141" spans="1:8" x14ac:dyDescent="0.3">
      <c r="A141" s="8" t="s">
        <v>151</v>
      </c>
      <c r="B141" s="42">
        <v>0</v>
      </c>
      <c r="C141" s="43">
        <f>Supuestos!B27*Supuestos!$B$56</f>
        <v>0</v>
      </c>
      <c r="D141" s="43">
        <f>Supuestos!C27*Supuestos!$B$56</f>
        <v>1.3</v>
      </c>
      <c r="E141" s="43">
        <f>Supuestos!D27*Supuestos!$B$56</f>
        <v>2.6</v>
      </c>
      <c r="F141" s="43">
        <f>Supuestos!E27*Supuestos!$B$56</f>
        <v>5.2</v>
      </c>
      <c r="G141" s="43">
        <f>Supuestos!F27*Supuestos!$B$56</f>
        <v>7.8000000000000007</v>
      </c>
      <c r="H141" s="42"/>
    </row>
    <row r="142" spans="1:8" x14ac:dyDescent="0.3">
      <c r="A142" s="20" t="s">
        <v>152</v>
      </c>
      <c r="B142" s="44"/>
      <c r="C142" s="44">
        <f>SUM(C139:C141)</f>
        <v>2.6</v>
      </c>
      <c r="D142" s="44">
        <f>SUM(D139:D141)</f>
        <v>6.5</v>
      </c>
      <c r="E142" s="44">
        <f>SUM(E139:E141)</f>
        <v>13</v>
      </c>
      <c r="F142" s="44">
        <f>SUM(F139:F141)</f>
        <v>23.4</v>
      </c>
      <c r="G142" s="44">
        <f>SUM(G139:G141)</f>
        <v>39</v>
      </c>
      <c r="H142" s="44"/>
    </row>
    <row r="143" spans="1:8" x14ac:dyDescent="0.3">
      <c r="A143" s="41" t="s">
        <v>153</v>
      </c>
      <c r="B143" s="41"/>
      <c r="C143" s="41"/>
      <c r="D143" s="41"/>
      <c r="E143" s="41"/>
      <c r="F143" s="41"/>
      <c r="G143" s="41"/>
      <c r="H143" s="41"/>
    </row>
    <row r="144" spans="1:8" x14ac:dyDescent="0.3">
      <c r="A144" s="8" t="s">
        <v>149</v>
      </c>
      <c r="B144" s="45"/>
      <c r="C144" s="45">
        <f t="shared" ref="C144:G146" si="8">(B139+C139)/2</f>
        <v>0.65</v>
      </c>
      <c r="D144" s="45">
        <f t="shared" si="8"/>
        <v>1.9500000000000002</v>
      </c>
      <c r="E144" s="45">
        <f t="shared" si="8"/>
        <v>3.9000000000000004</v>
      </c>
      <c r="F144" s="45">
        <f t="shared" si="8"/>
        <v>7.15</v>
      </c>
      <c r="G144" s="45">
        <f t="shared" si="8"/>
        <v>11.7</v>
      </c>
      <c r="H144" s="45"/>
    </row>
    <row r="145" spans="1:8" x14ac:dyDescent="0.3">
      <c r="A145" s="8" t="s">
        <v>150</v>
      </c>
      <c r="B145" s="45"/>
      <c r="C145" s="45">
        <f t="shared" si="8"/>
        <v>0.65</v>
      </c>
      <c r="D145" s="45">
        <f t="shared" si="8"/>
        <v>1.9500000000000002</v>
      </c>
      <c r="E145" s="45">
        <f t="shared" si="8"/>
        <v>3.9000000000000004</v>
      </c>
      <c r="F145" s="45">
        <f t="shared" si="8"/>
        <v>7.15</v>
      </c>
      <c r="G145" s="45">
        <f t="shared" si="8"/>
        <v>13</v>
      </c>
      <c r="H145" s="45"/>
    </row>
    <row r="146" spans="1:8" x14ac:dyDescent="0.3">
      <c r="A146" s="8" t="s">
        <v>151</v>
      </c>
      <c r="B146" s="45"/>
      <c r="C146" s="45">
        <f t="shared" si="8"/>
        <v>0</v>
      </c>
      <c r="D146" s="45">
        <f t="shared" si="8"/>
        <v>0.65</v>
      </c>
      <c r="E146" s="45">
        <f t="shared" si="8"/>
        <v>1.9500000000000002</v>
      </c>
      <c r="F146" s="45">
        <f t="shared" si="8"/>
        <v>3.9000000000000004</v>
      </c>
      <c r="G146" s="45">
        <f t="shared" si="8"/>
        <v>6.5</v>
      </c>
      <c r="H146" s="45"/>
    </row>
    <row r="147" spans="1:8" x14ac:dyDescent="0.3">
      <c r="A147" s="20" t="s">
        <v>154</v>
      </c>
      <c r="B147" s="44"/>
      <c r="C147" s="44">
        <f>SUM(C144:C146)</f>
        <v>1.3</v>
      </c>
      <c r="D147" s="44">
        <f>SUM(D144:D146)</f>
        <v>4.5500000000000007</v>
      </c>
      <c r="E147" s="44">
        <f>SUM(E144:E146)</f>
        <v>9.75</v>
      </c>
      <c r="F147" s="44">
        <f>SUM(F144:F146)</f>
        <v>18.200000000000003</v>
      </c>
      <c r="G147" s="44">
        <f>SUM(G144:G146)</f>
        <v>31.2</v>
      </c>
      <c r="H147" s="44">
        <f>SUM(C147:G147)</f>
        <v>65</v>
      </c>
    </row>
    <row r="148" spans="1:8" x14ac:dyDescent="0.3">
      <c r="A148" s="41" t="s">
        <v>155</v>
      </c>
      <c r="B148" s="41"/>
      <c r="C148" s="41"/>
      <c r="D148" s="41"/>
      <c r="E148" s="41"/>
      <c r="F148" s="41"/>
      <c r="G148" s="41"/>
      <c r="H148" s="41"/>
    </row>
    <row r="149" spans="1:8" x14ac:dyDescent="0.3">
      <c r="A149" s="8" t="s">
        <v>156</v>
      </c>
      <c r="B149" s="45"/>
      <c r="C149" s="45">
        <f t="shared" ref="C149:G151" si="9">MAX(0,C139-B139)</f>
        <v>1.3</v>
      </c>
      <c r="D149" s="45">
        <f t="shared" si="9"/>
        <v>1.3</v>
      </c>
      <c r="E149" s="45">
        <f t="shared" si="9"/>
        <v>2.6</v>
      </c>
      <c r="F149" s="45">
        <f t="shared" si="9"/>
        <v>3.8999999999999995</v>
      </c>
      <c r="G149" s="45">
        <f t="shared" si="9"/>
        <v>5.2000000000000011</v>
      </c>
      <c r="H149" s="45"/>
    </row>
    <row r="150" spans="1:8" x14ac:dyDescent="0.3">
      <c r="A150" s="8" t="s">
        <v>157</v>
      </c>
      <c r="B150" s="45"/>
      <c r="C150" s="45">
        <f t="shared" si="9"/>
        <v>1.3</v>
      </c>
      <c r="D150" s="45">
        <f t="shared" si="9"/>
        <v>1.3</v>
      </c>
      <c r="E150" s="45">
        <f t="shared" si="9"/>
        <v>2.6</v>
      </c>
      <c r="F150" s="45">
        <f t="shared" si="9"/>
        <v>3.8999999999999995</v>
      </c>
      <c r="G150" s="45">
        <f t="shared" si="9"/>
        <v>7.8000000000000025</v>
      </c>
      <c r="H150" s="45"/>
    </row>
    <row r="151" spans="1:8" x14ac:dyDescent="0.3">
      <c r="A151" s="8" t="s">
        <v>158</v>
      </c>
      <c r="B151" s="45"/>
      <c r="C151" s="45">
        <f t="shared" si="9"/>
        <v>0</v>
      </c>
      <c r="D151" s="45">
        <f t="shared" si="9"/>
        <v>1.3</v>
      </c>
      <c r="E151" s="45">
        <f t="shared" si="9"/>
        <v>1.3</v>
      </c>
      <c r="F151" s="45">
        <f t="shared" si="9"/>
        <v>2.6</v>
      </c>
      <c r="G151" s="45">
        <f t="shared" si="9"/>
        <v>2.6000000000000005</v>
      </c>
      <c r="H151" s="45"/>
    </row>
    <row r="152" spans="1:8" x14ac:dyDescent="0.3">
      <c r="A152" s="20" t="s">
        <v>159</v>
      </c>
      <c r="B152" s="44"/>
      <c r="C152" s="44">
        <f>SUM(C149:C151)</f>
        <v>2.6</v>
      </c>
      <c r="D152" s="44">
        <f>SUM(D149:D151)</f>
        <v>3.9000000000000004</v>
      </c>
      <c r="E152" s="44">
        <f>SUM(E149:E151)</f>
        <v>6.5</v>
      </c>
      <c r="F152" s="44">
        <f>SUM(F149:F151)</f>
        <v>10.399999999999999</v>
      </c>
      <c r="G152" s="44">
        <f>SUM(G149:G151)</f>
        <v>15.600000000000005</v>
      </c>
      <c r="H152" s="44">
        <f>SUM(C152:G152)</f>
        <v>39</v>
      </c>
    </row>
    <row r="153" spans="1:8" x14ac:dyDescent="0.3">
      <c r="A153" s="8" t="s">
        <v>160</v>
      </c>
      <c r="B153" s="45"/>
      <c r="C153" s="45">
        <f>C152+B139*Supuestos!$E$18+B140*Supuestos!$E$19+B141*Supuestos!$E$20</f>
        <v>2.6</v>
      </c>
      <c r="D153" s="45">
        <f>D152+C139*Supuestos!$E$18+C140*Supuestos!$E$19+C141*Supuestos!$E$20</f>
        <v>4.16</v>
      </c>
      <c r="E153" s="45">
        <f>E152+D139*Supuestos!$E$18+D140*Supuestos!$E$19+D141*Supuestos!$E$20</f>
        <v>7.0850000000000009</v>
      </c>
      <c r="F153" s="45">
        <f>F152+E139*Supuestos!$E$18+E140*Supuestos!$E$19+E141*Supuestos!$E$20</f>
        <v>11.57</v>
      </c>
      <c r="G153" s="45">
        <f>G152+F139*Supuestos!$E$18+F140*Supuestos!$E$19+F141*Supuestos!$E$20</f>
        <v>17.680000000000007</v>
      </c>
      <c r="H153" s="45">
        <f>SUM(C153:G153)</f>
        <v>43.095000000000006</v>
      </c>
    </row>
    <row r="154" spans="1:8" x14ac:dyDescent="0.3">
      <c r="A154" s="41" t="s">
        <v>161</v>
      </c>
      <c r="B154" s="41"/>
      <c r="C154" s="41"/>
      <c r="D154" s="41"/>
      <c r="E154" s="41"/>
      <c r="F154" s="41"/>
      <c r="G154" s="41"/>
      <c r="H154" s="41"/>
    </row>
    <row r="155" spans="1:8" x14ac:dyDescent="0.3">
      <c r="A155" s="8" t="s">
        <v>162</v>
      </c>
      <c r="B155" s="46"/>
      <c r="C155" s="46">
        <f>C144*Supuestos!$B$18*Supuestos!$C$56*12</f>
        <v>20475</v>
      </c>
      <c r="D155" s="46">
        <f>D144*Supuestos!$B$18*Supuestos!$C$56*12</f>
        <v>61425</v>
      </c>
      <c r="E155" s="46">
        <f>E144*Supuestos!$B$18*Supuestos!$C$56*12</f>
        <v>122850</v>
      </c>
      <c r="F155" s="46">
        <f>F144*Supuestos!$B$18*Supuestos!$C$56*12</f>
        <v>225225</v>
      </c>
      <c r="G155" s="46">
        <f>G144*Supuestos!$B$18*Supuestos!$C$56*12</f>
        <v>368550</v>
      </c>
      <c r="H155" s="46">
        <f t="shared" ref="H155:H160" si="10">SUM(C155:G155)</f>
        <v>798525</v>
      </c>
    </row>
    <row r="156" spans="1:8" x14ac:dyDescent="0.3">
      <c r="A156" s="8" t="s">
        <v>163</v>
      </c>
      <c r="B156" s="46"/>
      <c r="C156" s="46">
        <f>C145*Supuestos!$B$19*Supuestos!$C$56*12</f>
        <v>40950</v>
      </c>
      <c r="D156" s="46">
        <f>D145*Supuestos!$B$19*Supuestos!$C$56*12</f>
        <v>122850</v>
      </c>
      <c r="E156" s="46">
        <f>E145*Supuestos!$B$19*Supuestos!$C$56*12</f>
        <v>245700</v>
      </c>
      <c r="F156" s="46">
        <f>F145*Supuestos!$B$19*Supuestos!$C$56*12</f>
        <v>450450</v>
      </c>
      <c r="G156" s="46">
        <f>G145*Supuestos!$B$19*Supuestos!$C$56*12</f>
        <v>819000</v>
      </c>
      <c r="H156" s="46">
        <f t="shared" si="10"/>
        <v>1678950</v>
      </c>
    </row>
    <row r="157" spans="1:8" x14ac:dyDescent="0.3">
      <c r="A157" s="8" t="s">
        <v>164</v>
      </c>
      <c r="B157" s="46"/>
      <c r="C157" s="46">
        <f>C146*Supuestos!$B$20*Supuestos!$C$56*12</f>
        <v>0</v>
      </c>
      <c r="D157" s="46">
        <f>D146*Supuestos!$B$20*Supuestos!$C$56*12</f>
        <v>73710</v>
      </c>
      <c r="E157" s="46">
        <f>E146*Supuestos!$B$20*Supuestos!$C$56*12</f>
        <v>221130</v>
      </c>
      <c r="F157" s="46">
        <f>F146*Supuestos!$B$20*Supuestos!$C$56*12</f>
        <v>442260</v>
      </c>
      <c r="G157" s="46">
        <f>G146*Supuestos!$B$20*Supuestos!$C$56*12</f>
        <v>737100</v>
      </c>
      <c r="H157" s="46">
        <f t="shared" si="10"/>
        <v>1474200</v>
      </c>
    </row>
    <row r="158" spans="1:8" x14ac:dyDescent="0.3">
      <c r="A158" s="20" t="s">
        <v>165</v>
      </c>
      <c r="B158" s="47"/>
      <c r="C158" s="47">
        <f>SUM(C155:C157)</f>
        <v>61425</v>
      </c>
      <c r="D158" s="47">
        <f>SUM(D155:D157)</f>
        <v>257985</v>
      </c>
      <c r="E158" s="47">
        <f>SUM(E155:E157)</f>
        <v>589680</v>
      </c>
      <c r="F158" s="47">
        <f>SUM(F155:F157)</f>
        <v>1117935</v>
      </c>
      <c r="G158" s="47">
        <f>SUM(G155:G157)</f>
        <v>1924650</v>
      </c>
      <c r="H158" s="47">
        <f t="shared" si="10"/>
        <v>3951675</v>
      </c>
    </row>
    <row r="159" spans="1:8" x14ac:dyDescent="0.3">
      <c r="A159" s="8" t="s">
        <v>166</v>
      </c>
      <c r="B159" s="46"/>
      <c r="C159" s="46">
        <f>(C149*Supuestos!$C$18+C150*Supuestos!$C$19+C151*Supuestos!$C$20)*Supuestos!$C$56</f>
        <v>20475</v>
      </c>
      <c r="D159" s="46">
        <f>(D149*Supuestos!$C$18+D150*Supuestos!$C$19+D151*Supuestos!$C$20)*Supuestos!$C$56</f>
        <v>47775</v>
      </c>
      <c r="E159" s="46">
        <f>(E149*Supuestos!$C$18+E150*Supuestos!$C$19+E151*Supuestos!$C$20)*Supuestos!$C$56</f>
        <v>68250</v>
      </c>
      <c r="F159" s="46">
        <f>(F149*Supuestos!$C$18+F150*Supuestos!$C$19+F151*Supuestos!$C$20)*Supuestos!$C$56</f>
        <v>116024.99999999999</v>
      </c>
      <c r="G159" s="46">
        <f>(G149*Supuestos!$C$18+G150*Supuestos!$C$19+G151*Supuestos!$C$20)*Supuestos!$C$56</f>
        <v>163800.00000000003</v>
      </c>
      <c r="H159" s="46">
        <f t="shared" si="10"/>
        <v>416325</v>
      </c>
    </row>
    <row r="160" spans="1:8" x14ac:dyDescent="0.3">
      <c r="A160" s="20" t="s">
        <v>167</v>
      </c>
      <c r="B160" s="47"/>
      <c r="C160" s="47">
        <f>C158+C159</f>
        <v>81900</v>
      </c>
      <c r="D160" s="47">
        <f>D158+D159</f>
        <v>305760</v>
      </c>
      <c r="E160" s="47">
        <f>E158+E159</f>
        <v>657930</v>
      </c>
      <c r="F160" s="47">
        <f>F158+F159</f>
        <v>1233960</v>
      </c>
      <c r="G160" s="47">
        <f>G158+G159</f>
        <v>2088450</v>
      </c>
      <c r="H160" s="47">
        <f t="shared" si="10"/>
        <v>4368000</v>
      </c>
    </row>
    <row r="161" spans="1:8" x14ac:dyDescent="0.3">
      <c r="A161" s="41" t="s">
        <v>168</v>
      </c>
      <c r="B161" s="41"/>
      <c r="C161" s="41"/>
      <c r="D161" s="41"/>
      <c r="E161" s="41"/>
      <c r="F161" s="41"/>
      <c r="G161" s="41"/>
      <c r="H161" s="41"/>
    </row>
    <row r="162" spans="1:8" x14ac:dyDescent="0.3">
      <c r="A162" s="8" t="s">
        <v>169</v>
      </c>
      <c r="B162" s="46"/>
      <c r="C162" s="46">
        <f>(C155*Supuestos!$D$18+C156*Supuestos!$D$19+C157*Supuestos!$D$20)*Supuestos!$D$56</f>
        <v>7780.5</v>
      </c>
      <c r="D162" s="46">
        <f>(D155*Supuestos!$D$18+D156*Supuestos!$D$19+D157*Supuestos!$D$20)*Supuestos!$D$56</f>
        <v>38746.889999999992</v>
      </c>
      <c r="E162" s="46">
        <f>(E155*Supuestos!$D$18+E156*Supuestos!$D$19+E157*Supuestos!$D$20)*Supuestos!$D$56</f>
        <v>92899.17</v>
      </c>
      <c r="F162" s="46">
        <f>(F155*Supuestos!$D$18+F156*Supuestos!$D$19+F157*Supuestos!$D$20)*Supuestos!$D$56</f>
        <v>178017.84</v>
      </c>
      <c r="G162" s="46">
        <f>(G155*Supuestos!$D$18+G156*Supuestos!$D$19+G157*Supuestos!$D$20)*Supuestos!$D$56</f>
        <v>305773.64999999997</v>
      </c>
      <c r="H162" s="46">
        <f>SUM(C162:G162)</f>
        <v>623218.05000000005</v>
      </c>
    </row>
    <row r="163" spans="1:8" x14ac:dyDescent="0.3">
      <c r="A163" s="8" t="s">
        <v>170</v>
      </c>
      <c r="B163" s="46"/>
      <c r="C163" s="46">
        <f>C159*Supuestos!$B$9</f>
        <v>6142.5</v>
      </c>
      <c r="D163" s="46">
        <f>D159*Supuestos!$B$9</f>
        <v>14332.5</v>
      </c>
      <c r="E163" s="46">
        <f>E159*Supuestos!$B$9</f>
        <v>20475</v>
      </c>
      <c r="F163" s="46">
        <f>F159*Supuestos!$B$9</f>
        <v>34807.499999999993</v>
      </c>
      <c r="G163" s="46">
        <f>G159*Supuestos!$B$9</f>
        <v>49140.000000000007</v>
      </c>
      <c r="H163" s="46">
        <f>SUM(C163:G163)</f>
        <v>124897.5</v>
      </c>
    </row>
    <row r="164" spans="1:8" x14ac:dyDescent="0.3">
      <c r="A164" s="20" t="s">
        <v>171</v>
      </c>
      <c r="B164" s="47"/>
      <c r="C164" s="47">
        <f>C162+C163</f>
        <v>13923</v>
      </c>
      <c r="D164" s="47">
        <f>D162+D163</f>
        <v>53079.389999999992</v>
      </c>
      <c r="E164" s="47">
        <f>E162+E163</f>
        <v>113374.17</v>
      </c>
      <c r="F164" s="47">
        <f>F162+F163</f>
        <v>212825.34</v>
      </c>
      <c r="G164" s="47">
        <f>G162+G163</f>
        <v>354913.64999999997</v>
      </c>
      <c r="H164" s="47">
        <f>SUM(C164:G164)</f>
        <v>748115.55</v>
      </c>
    </row>
    <row r="165" spans="1:8" x14ac:dyDescent="0.3">
      <c r="A165" s="8" t="s">
        <v>172</v>
      </c>
      <c r="B165" s="46"/>
      <c r="C165" s="48">
        <f>Supuestos!B$32*Supuestos!$E$56</f>
        <v>150000</v>
      </c>
      <c r="D165" s="48">
        <f>Supuestos!C$32*Supuestos!$E$56</f>
        <v>210000</v>
      </c>
      <c r="E165" s="48">
        <f>Supuestos!D$32*Supuestos!$E$56</f>
        <v>300000</v>
      </c>
      <c r="F165" s="48">
        <f>Supuestos!E$32*Supuestos!$E$56</f>
        <v>400000</v>
      </c>
      <c r="G165" s="48">
        <f>Supuestos!F$32*Supuestos!$E$56</f>
        <v>550000</v>
      </c>
      <c r="H165" s="46">
        <f>SUM(C165:G165)</f>
        <v>1610000</v>
      </c>
    </row>
    <row r="166" spans="1:8" x14ac:dyDescent="0.3">
      <c r="A166" s="20" t="s">
        <v>173</v>
      </c>
      <c r="B166" s="47"/>
      <c r="C166" s="47">
        <f>C164+C165</f>
        <v>163923</v>
      </c>
      <c r="D166" s="47">
        <f>D164+D165</f>
        <v>263079.39</v>
      </c>
      <c r="E166" s="47">
        <f>E164+E165</f>
        <v>413374.17</v>
      </c>
      <c r="F166" s="47">
        <f>F164+F165</f>
        <v>612825.34</v>
      </c>
      <c r="G166" s="47">
        <f>G164+G165</f>
        <v>904913.64999999991</v>
      </c>
      <c r="H166" s="47">
        <f>SUM(C166:G166)</f>
        <v>2358115.5499999998</v>
      </c>
    </row>
    <row r="167" spans="1:8" x14ac:dyDescent="0.3">
      <c r="A167" s="41" t="s">
        <v>174</v>
      </c>
      <c r="B167" s="41"/>
      <c r="C167" s="41"/>
      <c r="D167" s="41"/>
      <c r="E167" s="41"/>
      <c r="F167" s="41"/>
      <c r="G167" s="41"/>
      <c r="H167" s="41"/>
    </row>
    <row r="168" spans="1:8" x14ac:dyDescent="0.3">
      <c r="A168" s="20" t="s">
        <v>175</v>
      </c>
      <c r="B168" s="47"/>
      <c r="C168" s="47">
        <f>C160-C166</f>
        <v>-82023</v>
      </c>
      <c r="D168" s="47">
        <f>D160-D166</f>
        <v>42680.609999999986</v>
      </c>
      <c r="E168" s="47">
        <f>E160-E166</f>
        <v>244555.83000000002</v>
      </c>
      <c r="F168" s="47">
        <f>F160-F166</f>
        <v>621134.66</v>
      </c>
      <c r="G168" s="47">
        <f>G160-G166</f>
        <v>1183536.3500000001</v>
      </c>
      <c r="H168" s="47">
        <f>SUM(C168:G168)</f>
        <v>2009884.4500000002</v>
      </c>
    </row>
    <row r="169" spans="1:8" x14ac:dyDescent="0.3">
      <c r="A169" s="8" t="s">
        <v>176</v>
      </c>
      <c r="B169" s="49"/>
      <c r="C169" s="49">
        <f>IF(C160=0,0,C168/C160)</f>
        <v>-1.0015018315018316</v>
      </c>
      <c r="D169" s="49">
        <f>IF(D160=0,0,D168/D160)</f>
        <v>0.13958859890109884</v>
      </c>
      <c r="E169" s="49">
        <f>IF(E160=0,0,E168/E160)</f>
        <v>0.3717049382153117</v>
      </c>
      <c r="F169" s="49">
        <f>IF(F160=0,0,F168/F160)</f>
        <v>0.50336693247755193</v>
      </c>
      <c r="G169" s="49">
        <f>IF(G160=0,0,G168/G160)</f>
        <v>0.5667056189997367</v>
      </c>
      <c r="H169" s="49"/>
    </row>
    <row r="170" spans="1:8" x14ac:dyDescent="0.3">
      <c r="A170" s="8" t="s">
        <v>177</v>
      </c>
      <c r="B170" s="46"/>
      <c r="C170" s="46">
        <f>IF(C137&lt;=Supuestos!$B$11,Supuestos!$B$50/Supuestos!$B$11,0)</f>
        <v>44000</v>
      </c>
      <c r="D170" s="46">
        <f>IF(D137&lt;=Supuestos!$B$11,Supuestos!$B$50/Supuestos!$B$11,0)</f>
        <v>44000</v>
      </c>
      <c r="E170" s="46">
        <f>IF(E137&lt;=Supuestos!$B$11,Supuestos!$B$50/Supuestos!$B$11,0)</f>
        <v>44000</v>
      </c>
      <c r="F170" s="46">
        <f>IF(F137&lt;=Supuestos!$B$11,Supuestos!$B$50/Supuestos!$B$11,0)</f>
        <v>44000</v>
      </c>
      <c r="G170" s="46">
        <f>IF(G137&lt;=Supuestos!$B$11,Supuestos!$B$50/Supuestos!$B$11,0)</f>
        <v>44000</v>
      </c>
      <c r="H170" s="46">
        <f>SUM(C170:G170)</f>
        <v>220000</v>
      </c>
    </row>
    <row r="171" spans="1:8" x14ac:dyDescent="0.3">
      <c r="A171" s="20" t="s">
        <v>178</v>
      </c>
      <c r="B171" s="47"/>
      <c r="C171" s="47">
        <f>C168-C170</f>
        <v>-126023</v>
      </c>
      <c r="D171" s="47">
        <f>D168-D170</f>
        <v>-1319.390000000014</v>
      </c>
      <c r="E171" s="47">
        <f>E168-E170</f>
        <v>200555.83000000002</v>
      </c>
      <c r="F171" s="47">
        <f>F168-F170</f>
        <v>577134.66</v>
      </c>
      <c r="G171" s="47">
        <f>G168-G170</f>
        <v>1139536.3500000001</v>
      </c>
      <c r="H171" s="47">
        <f>SUM(C171:G171)</f>
        <v>1789884.4500000002</v>
      </c>
    </row>
    <row r="172" spans="1:8" x14ac:dyDescent="0.3">
      <c r="A172" s="6" t="s">
        <v>179</v>
      </c>
      <c r="B172" s="50"/>
      <c r="C172" s="50">
        <f>0</f>
        <v>0</v>
      </c>
      <c r="D172" s="50">
        <f>C174</f>
        <v>126023</v>
      </c>
      <c r="E172" s="50">
        <f>D174</f>
        <v>127342.39000000001</v>
      </c>
      <c r="F172" s="50">
        <f>E174</f>
        <v>0</v>
      </c>
      <c r="G172" s="50">
        <f>F174</f>
        <v>0</v>
      </c>
      <c r="H172" s="50"/>
    </row>
    <row r="173" spans="1:8" x14ac:dyDescent="0.3">
      <c r="A173" s="6" t="s">
        <v>180</v>
      </c>
      <c r="B173" s="50"/>
      <c r="C173" s="50">
        <f>MIN(C172,MAX(C171,0))</f>
        <v>0</v>
      </c>
      <c r="D173" s="50">
        <f>MIN(D172,MAX(D171,0))</f>
        <v>0</v>
      </c>
      <c r="E173" s="50">
        <f>MIN(E172,MAX(E171,0))</f>
        <v>127342.39000000001</v>
      </c>
      <c r="F173" s="50">
        <f>MIN(F172,MAX(F171,0))</f>
        <v>0</v>
      </c>
      <c r="G173" s="50">
        <f>MIN(G172,MAX(G171,0))</f>
        <v>0</v>
      </c>
      <c r="H173" s="50"/>
    </row>
    <row r="174" spans="1:8" x14ac:dyDescent="0.3">
      <c r="A174" s="6" t="s">
        <v>181</v>
      </c>
      <c r="B174" s="50"/>
      <c r="C174" s="50">
        <f>C172+MAX(-C171,0)-C173</f>
        <v>126023</v>
      </c>
      <c r="D174" s="50">
        <f>D172+MAX(-D171,0)-D173</f>
        <v>127342.39000000001</v>
      </c>
      <c r="E174" s="50">
        <f>E172+MAX(-E171,0)-E173</f>
        <v>0</v>
      </c>
      <c r="F174" s="50">
        <f>F172+MAX(-F171,0)-F173</f>
        <v>0</v>
      </c>
      <c r="G174" s="50">
        <f>G172+MAX(-G171,0)-G173</f>
        <v>0</v>
      </c>
      <c r="H174" s="50"/>
    </row>
    <row r="175" spans="1:8" x14ac:dyDescent="0.3">
      <c r="A175" s="6" t="s">
        <v>182</v>
      </c>
      <c r="B175" s="50"/>
      <c r="C175" s="50">
        <f>MAX(C171,0)-C173</f>
        <v>0</v>
      </c>
      <c r="D175" s="50">
        <f>MAX(D171,0)-D173</f>
        <v>0</v>
      </c>
      <c r="E175" s="50">
        <f>MAX(E171,0)-E173</f>
        <v>73213.440000000002</v>
      </c>
      <c r="F175" s="50">
        <f>MAX(F171,0)-F173</f>
        <v>577134.66</v>
      </c>
      <c r="G175" s="50">
        <f>MAX(G171,0)-G173</f>
        <v>1139536.3500000001</v>
      </c>
      <c r="H175" s="50"/>
    </row>
    <row r="176" spans="1:8" x14ac:dyDescent="0.3">
      <c r="A176" s="6" t="s">
        <v>183</v>
      </c>
      <c r="B176" s="50"/>
      <c r="C176" s="50">
        <f>C175*Supuestos!$B$7</f>
        <v>0</v>
      </c>
      <c r="D176" s="50">
        <f>D175*Supuestos!$B$7</f>
        <v>0</v>
      </c>
      <c r="E176" s="50">
        <f>E175*Supuestos!$B$7</f>
        <v>21964.031999999999</v>
      </c>
      <c r="F176" s="50">
        <f>F175*Supuestos!$B$7</f>
        <v>173140.39800000002</v>
      </c>
      <c r="G176" s="50">
        <f>G175*Supuestos!$B$7</f>
        <v>341860.90500000003</v>
      </c>
      <c r="H176" s="50"/>
    </row>
    <row r="177" spans="1:8" x14ac:dyDescent="0.3">
      <c r="A177" s="6" t="s">
        <v>184</v>
      </c>
      <c r="B177" s="50"/>
      <c r="C177" s="50">
        <f>C160*Supuestos!$B$8</f>
        <v>819</v>
      </c>
      <c r="D177" s="50">
        <f>D160*Supuestos!$B$8</f>
        <v>3057.6</v>
      </c>
      <c r="E177" s="50">
        <f>E160*Supuestos!$B$8</f>
        <v>6579.3</v>
      </c>
      <c r="F177" s="50">
        <f>F160*Supuestos!$B$8</f>
        <v>12339.6</v>
      </c>
      <c r="G177" s="50">
        <f>G160*Supuestos!$B$8</f>
        <v>20884.5</v>
      </c>
      <c r="H177" s="50"/>
    </row>
    <row r="178" spans="1:8" x14ac:dyDescent="0.3">
      <c r="A178" s="8" t="s">
        <v>185</v>
      </c>
      <c r="B178" s="46"/>
      <c r="C178" s="46">
        <f>MAX(C176,C177)</f>
        <v>819</v>
      </c>
      <c r="D178" s="46">
        <f>MAX(D176,D177)</f>
        <v>3057.6</v>
      </c>
      <c r="E178" s="46">
        <f>MAX(E176,E177)</f>
        <v>21964.031999999999</v>
      </c>
      <c r="F178" s="46">
        <f>MAX(F176,F177)</f>
        <v>173140.39800000002</v>
      </c>
      <c r="G178" s="46">
        <f>MAX(G176,G177)</f>
        <v>341860.90500000003</v>
      </c>
      <c r="H178" s="46">
        <f>SUM(C178:G178)</f>
        <v>540841.93500000006</v>
      </c>
    </row>
    <row r="179" spans="1:8" x14ac:dyDescent="0.3">
      <c r="A179" s="20" t="s">
        <v>186</v>
      </c>
      <c r="B179" s="47"/>
      <c r="C179" s="47">
        <f>C171-C178</f>
        <v>-126842</v>
      </c>
      <c r="D179" s="47">
        <f>D171-D178</f>
        <v>-4376.9900000000143</v>
      </c>
      <c r="E179" s="47">
        <f>E171-E178</f>
        <v>178591.79800000001</v>
      </c>
      <c r="F179" s="47">
        <f>F171-F178</f>
        <v>403994.26199999999</v>
      </c>
      <c r="G179" s="47">
        <f>G171-G178</f>
        <v>797675.44500000007</v>
      </c>
      <c r="H179" s="47">
        <f>SUM(C179:G179)</f>
        <v>1249042.5150000001</v>
      </c>
    </row>
    <row r="180" spans="1:8" x14ac:dyDescent="0.3">
      <c r="A180" s="41" t="s">
        <v>187</v>
      </c>
      <c r="B180" s="41"/>
      <c r="C180" s="41"/>
      <c r="D180" s="41"/>
      <c r="E180" s="41"/>
      <c r="F180" s="41"/>
      <c r="G180" s="41"/>
      <c r="H180" s="41"/>
    </row>
    <row r="181" spans="1:8" x14ac:dyDescent="0.3">
      <c r="A181" s="20" t="s">
        <v>188</v>
      </c>
      <c r="B181" s="51">
        <f>-Supuestos!$B$50</f>
        <v>-220000</v>
      </c>
      <c r="C181" s="47">
        <f>C179+C170</f>
        <v>-82842</v>
      </c>
      <c r="D181" s="47">
        <f>D179+D170</f>
        <v>39623.009999999987</v>
      </c>
      <c r="E181" s="47">
        <f>E179+E170</f>
        <v>222591.79800000001</v>
      </c>
      <c r="F181" s="47">
        <f>F179+F170</f>
        <v>447994.26199999999</v>
      </c>
      <c r="G181" s="47">
        <f>G179+G170</f>
        <v>841675.44500000007</v>
      </c>
      <c r="H181" s="47">
        <f>SUM(C181:G181)</f>
        <v>1469042.5150000001</v>
      </c>
    </row>
    <row r="182" spans="1:8" x14ac:dyDescent="0.3">
      <c r="A182" s="8" t="s">
        <v>189</v>
      </c>
      <c r="B182" s="46">
        <f>B181</f>
        <v>-220000</v>
      </c>
      <c r="C182" s="46">
        <f>B182+C181</f>
        <v>-302842</v>
      </c>
      <c r="D182" s="46">
        <f>C182+D181</f>
        <v>-263218.99</v>
      </c>
      <c r="E182" s="46">
        <f>D182+E181</f>
        <v>-40627.191999999981</v>
      </c>
      <c r="F182" s="46">
        <f>E182+F181</f>
        <v>407367.07</v>
      </c>
      <c r="G182" s="46">
        <f>F182+G181</f>
        <v>1249042.5150000001</v>
      </c>
      <c r="H182" s="46"/>
    </row>
    <row r="183" spans="1:8" x14ac:dyDescent="0.3">
      <c r="A183" s="6" t="s">
        <v>190</v>
      </c>
      <c r="B183" s="52">
        <f>1/(1+Supuestos!$B$6)^B137</f>
        <v>1</v>
      </c>
      <c r="C183" s="52">
        <f>1/(1+Supuestos!$B$6)^C137</f>
        <v>0.86956521739130443</v>
      </c>
      <c r="D183" s="52">
        <f>1/(1+Supuestos!$B$6)^D137</f>
        <v>0.7561436672967865</v>
      </c>
      <c r="E183" s="52">
        <f>1/(1+Supuestos!$B$6)^E137</f>
        <v>0.65751623243198831</v>
      </c>
      <c r="F183" s="52">
        <f>1/(1+Supuestos!$B$6)^F137</f>
        <v>0.57175324559303342</v>
      </c>
      <c r="G183" s="52">
        <f>1/(1+Supuestos!$B$6)^G137</f>
        <v>0.49717673529828987</v>
      </c>
      <c r="H183" s="52"/>
    </row>
    <row r="184" spans="1:8" x14ac:dyDescent="0.3">
      <c r="A184" s="8" t="s">
        <v>191</v>
      </c>
      <c r="B184" s="46">
        <f t="shared" ref="B184:G184" si="11">B181*B183</f>
        <v>-220000</v>
      </c>
      <c r="C184" s="46">
        <f t="shared" si="11"/>
        <v>-72036.521739130447</v>
      </c>
      <c r="D184" s="46">
        <f t="shared" si="11"/>
        <v>29960.688090737236</v>
      </c>
      <c r="E184" s="46">
        <f t="shared" si="11"/>
        <v>146357.72039122219</v>
      </c>
      <c r="F184" s="46">
        <f t="shared" si="11"/>
        <v>256142.17330555574</v>
      </c>
      <c r="G184" s="46">
        <f t="shared" si="11"/>
        <v>418461.44992583536</v>
      </c>
      <c r="H184" s="46"/>
    </row>
    <row r="185" spans="1:8" x14ac:dyDescent="0.3">
      <c r="A185" s="8" t="s">
        <v>192</v>
      </c>
      <c r="B185" s="46">
        <f>B184</f>
        <v>-220000</v>
      </c>
      <c r="C185" s="46">
        <f>B185+C184</f>
        <v>-292036.52173913043</v>
      </c>
      <c r="D185" s="46">
        <f>C185+D184</f>
        <v>-262075.83364839319</v>
      </c>
      <c r="E185" s="46">
        <f>D185+E184</f>
        <v>-115718.113257171</v>
      </c>
      <c r="F185" s="46">
        <f>E185+F184</f>
        <v>140424.06004838474</v>
      </c>
      <c r="G185" s="46">
        <f>F185+G184</f>
        <v>558885.50997422007</v>
      </c>
      <c r="H185" s="46"/>
    </row>
    <row r="186" spans="1:8" x14ac:dyDescent="0.3">
      <c r="A186" s="6" t="s">
        <v>193</v>
      </c>
      <c r="B186" s="50"/>
      <c r="C186" s="50">
        <f>C166+C178</f>
        <v>164742</v>
      </c>
      <c r="D186" s="50">
        <f>D166+D178</f>
        <v>266136.99</v>
      </c>
      <c r="E186" s="50">
        <f>E166+E178</f>
        <v>435338.20199999999</v>
      </c>
      <c r="F186" s="50">
        <f>F166+F178</f>
        <v>785965.73800000001</v>
      </c>
      <c r="G186" s="50">
        <f>G166+G178</f>
        <v>1246774.5549999999</v>
      </c>
      <c r="H186" s="50"/>
    </row>
    <row r="187" spans="1:8" x14ac:dyDescent="0.3">
      <c r="A187" s="6" t="s">
        <v>194</v>
      </c>
      <c r="B187" s="53"/>
      <c r="C187" s="53" t="str">
        <f>IF(AND(B182&lt;0,C182&gt;=0),B137+(-B182)/C181,"")</f>
        <v/>
      </c>
      <c r="D187" s="53" t="str">
        <f>IF(AND(C182&lt;0,D182&gt;=0),C137+(-C182)/D181,"")</f>
        <v/>
      </c>
      <c r="E187" s="53" t="str">
        <f>IF(AND(D182&lt;0,E182&gt;=0),D137+(-D182)/E181,"")</f>
        <v/>
      </c>
      <c r="F187" s="53">
        <f>IF(AND(E182&lt;0,F182&gt;=0),E137+(-E182)/F181,"")</f>
        <v>3.0906868579490867</v>
      </c>
      <c r="G187" s="53" t="str">
        <f>IF(AND(F182&lt;0,G182&gt;=0),F137+(-F182)/G181,"")</f>
        <v/>
      </c>
      <c r="H187" s="53"/>
    </row>
    <row r="188" spans="1:8" x14ac:dyDescent="0.3">
      <c r="A188" s="6" t="s">
        <v>195</v>
      </c>
      <c r="B188" s="53"/>
      <c r="C188" s="53" t="str">
        <f>IF(AND(B185&lt;0,C185&gt;=0),B137+(-B185)/C184,"")</f>
        <v/>
      </c>
      <c r="D188" s="53" t="str">
        <f>IF(AND(C185&lt;0,D185&gt;=0),C137+(-C185)/D184,"")</f>
        <v/>
      </c>
      <c r="E188" s="53" t="str">
        <f>IF(AND(D185&lt;0,E185&gt;=0),D137+(-D185)/E184,"")</f>
        <v/>
      </c>
      <c r="F188" s="53">
        <f>IF(AND(E185&lt;0,F185&gt;=0),E137+(-E185)/F184,"")</f>
        <v>3.4517729812463531</v>
      </c>
      <c r="G188" s="53" t="str">
        <f>IF(AND(F185&lt;0,G185&gt;=0),F137+(-F185)/G184,"")</f>
        <v/>
      </c>
      <c r="H188" s="53"/>
    </row>
    <row r="189" spans="1:8" x14ac:dyDescent="0.3">
      <c r="A189" s="41" t="s">
        <v>196</v>
      </c>
      <c r="B189" s="41"/>
      <c r="C189" s="41"/>
      <c r="D189" s="41"/>
      <c r="E189" s="41"/>
      <c r="F189" s="41"/>
      <c r="G189" s="41"/>
      <c r="H189" s="41"/>
    </row>
    <row r="190" spans="1:8" x14ac:dyDescent="0.3">
      <c r="A190" s="15" t="s">
        <v>4</v>
      </c>
      <c r="B190" s="54">
        <f>SUM(B184:G184)</f>
        <v>558885.50997422007</v>
      </c>
      <c r="C190" s="55"/>
      <c r="D190" s="55"/>
      <c r="E190" s="55"/>
      <c r="F190" s="55"/>
      <c r="G190" s="55"/>
      <c r="H190" s="55"/>
    </row>
    <row r="191" spans="1:8" x14ac:dyDescent="0.3">
      <c r="A191" s="15" t="s">
        <v>5</v>
      </c>
      <c r="B191" s="56">
        <f>IFERROR(IRR(B181:G181),"n/d")</f>
        <v>0.5107954046640768</v>
      </c>
      <c r="C191" s="57"/>
      <c r="D191" s="57"/>
      <c r="E191" s="57"/>
      <c r="F191" s="57"/>
      <c r="G191" s="57"/>
      <c r="H191" s="57"/>
    </row>
    <row r="192" spans="1:8" x14ac:dyDescent="0.3">
      <c r="A192" s="15" t="s">
        <v>197</v>
      </c>
      <c r="B192" s="58">
        <f>IF(COUNT(C187:G187)=0,"No se recupera",MIN(C187:G187))</f>
        <v>3.0906868579490867</v>
      </c>
      <c r="C192" s="59"/>
      <c r="D192" s="59"/>
      <c r="E192" s="59"/>
      <c r="F192" s="59"/>
      <c r="G192" s="59"/>
      <c r="H192" s="59"/>
    </row>
    <row r="193" spans="1:8" x14ac:dyDescent="0.3">
      <c r="A193" s="15" t="s">
        <v>198</v>
      </c>
      <c r="B193" s="58">
        <f>IF(COUNT(C188:G188)=0,"No se recupera",MIN(C188:G188))</f>
        <v>3.4517729812463531</v>
      </c>
      <c r="C193" s="59"/>
      <c r="D193" s="59"/>
      <c r="E193" s="59"/>
      <c r="F193" s="59"/>
      <c r="G193" s="59"/>
      <c r="H193" s="59"/>
    </row>
    <row r="194" spans="1:8" x14ac:dyDescent="0.3">
      <c r="A194" s="15" t="s">
        <v>199</v>
      </c>
      <c r="B194" s="58">
        <f>IFERROR(NPV(Supuestos!$B$6,C160:G160)/(Supuestos!$B$50+NPV(Supuestos!$B$6,C186:G186)),"n/d")</f>
        <v>1.2910893244968962</v>
      </c>
      <c r="C194" s="59"/>
      <c r="D194" s="59"/>
      <c r="E194" s="59"/>
      <c r="F194" s="59"/>
      <c r="G194" s="59"/>
      <c r="H194" s="59"/>
    </row>
    <row r="195" spans="1:8" x14ac:dyDescent="0.3">
      <c r="A195" s="15" t="s">
        <v>200</v>
      </c>
      <c r="B195" s="58">
        <f>IFERROR(SUMIF(C184:G184,"&gt;0")/(Supuestos!$B$50-SUMIF(C184:G184,"&lt;0")),"n/d")</f>
        <v>2.9137521110234967</v>
      </c>
      <c r="C195" s="59"/>
      <c r="D195" s="59"/>
      <c r="E195" s="59"/>
      <c r="F195" s="59"/>
      <c r="G195" s="59"/>
      <c r="H195" s="59"/>
    </row>
    <row r="196" spans="1:8" x14ac:dyDescent="0.3">
      <c r="A196" s="15" t="s">
        <v>201</v>
      </c>
      <c r="B196" s="58">
        <f>1+B190/Supuestos!$B$50</f>
        <v>3.5403886817010002</v>
      </c>
      <c r="C196" s="59"/>
      <c r="D196" s="59"/>
      <c r="E196" s="59"/>
      <c r="F196" s="59"/>
      <c r="G196" s="59"/>
      <c r="H196" s="59"/>
    </row>
    <row r="197" spans="1:8" x14ac:dyDescent="0.3">
      <c r="A197" s="15" t="s">
        <v>202</v>
      </c>
      <c r="B197" s="60">
        <f>(SUM(C181:G181)-Supuestos!$B$50)/Supuestos!$B$50</f>
        <v>5.6774659772727283</v>
      </c>
      <c r="C197" s="61"/>
      <c r="D197" s="61"/>
      <c r="E197" s="61"/>
      <c r="F197" s="61"/>
      <c r="G197" s="61"/>
      <c r="H197" s="61"/>
    </row>
    <row r="198" spans="1:8" x14ac:dyDescent="0.3">
      <c r="A198" s="15" t="s">
        <v>203</v>
      </c>
      <c r="B198" s="54">
        <f>-MIN(B182:G182)</f>
        <v>302842</v>
      </c>
      <c r="C198" s="55"/>
      <c r="D198" s="55"/>
      <c r="E198" s="55"/>
      <c r="F198" s="55"/>
      <c r="G198" s="55"/>
      <c r="H198" s="55"/>
    </row>
    <row r="199" spans="1:8" x14ac:dyDescent="0.3">
      <c r="A199" s="15" t="s">
        <v>204</v>
      </c>
      <c r="B199" s="54">
        <f>CEILING(B198*(1+Supuestos!$B$12),50000)</f>
        <v>350000</v>
      </c>
      <c r="C199" s="55"/>
      <c r="D199" s="55"/>
      <c r="E199" s="55"/>
      <c r="F199" s="55"/>
      <c r="G199" s="55"/>
      <c r="H199" s="55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Supuestos</vt:lpstr>
      <vt:lpstr>Planes</vt:lpstr>
      <vt:lpstr>Modelo</vt:lpstr>
      <vt:lpstr>Indicadores</vt:lpstr>
      <vt:lpstr>Equilibrio</vt:lpstr>
      <vt:lpstr>Escenarios</vt:lpstr>
      <vt:lpstr>Calc_Esc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Jarey 17</cp:lastModifiedBy>
  <dcterms:created xsi:type="dcterms:W3CDTF">2026-10-08T06:28:35Z</dcterms:created>
  <dcterms:modified xsi:type="dcterms:W3CDTF">2026-10-08T06:28:47Z</dcterms:modified>
</cp:coreProperties>
</file>