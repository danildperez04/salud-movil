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dev\salud-movil\docs\plan-financiero\"/>
    </mc:Choice>
  </mc:AlternateContent>
  <xr:revisionPtr revIDLastSave="0" documentId="13_ncr:1_{A9403C60-5597-4151-A388-E96A2B5194AD}" xr6:coauthVersionLast="47" xr6:coauthVersionMax="47" xr10:uidLastSave="{00000000-0000-0000-0000-000000000000}"/>
  <bookViews>
    <workbookView xWindow="0" yWindow="12" windowWidth="23256" windowHeight="13176" xr2:uid="{00000000-000D-0000-FFFF-FFFF00000000}"/>
  </bookViews>
  <sheets>
    <sheet name="Dashboard" sheetId="1" r:id="rId1"/>
    <sheet name="Supuestos" sheetId="2" r:id="rId2"/>
    <sheet name="Planes" sheetId="3" r:id="rId3"/>
    <sheet name="Modelo" sheetId="4" r:id="rId4"/>
    <sheet name="Indicadores" sheetId="5" r:id="rId5"/>
    <sheet name="Equilibri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C47" i="6"/>
  <c r="C46" i="6"/>
  <c r="C45" i="6"/>
  <c r="G39" i="6"/>
  <c r="F39" i="6"/>
  <c r="E39" i="6"/>
  <c r="D39" i="6"/>
  <c r="C39" i="6"/>
  <c r="B31" i="6"/>
  <c r="B30" i="6"/>
  <c r="B46" i="6" s="1"/>
  <c r="D46" i="6" s="1"/>
  <c r="B29" i="6"/>
  <c r="B45" i="6" s="1"/>
  <c r="D45" i="6" s="1"/>
  <c r="D15" i="5"/>
  <c r="D14" i="5"/>
  <c r="D13" i="5"/>
  <c r="D5" i="5"/>
  <c r="B5" i="5"/>
  <c r="G49" i="4"/>
  <c r="G21" i="5" s="1"/>
  <c r="F49" i="4"/>
  <c r="F21" i="5" s="1"/>
  <c r="E49" i="4"/>
  <c r="E21" i="5" s="1"/>
  <c r="D49" i="4"/>
  <c r="D21" i="5" s="1"/>
  <c r="C49" i="4"/>
  <c r="C21" i="5" s="1"/>
  <c r="B49" i="4"/>
  <c r="B21" i="5" s="1"/>
  <c r="C38" i="4"/>
  <c r="G31" i="4"/>
  <c r="G5" i="6" s="1"/>
  <c r="F31" i="4"/>
  <c r="F5" i="6" s="1"/>
  <c r="E31" i="4"/>
  <c r="E5" i="6" s="1"/>
  <c r="D31" i="4"/>
  <c r="D5" i="6" s="1"/>
  <c r="C31" i="4"/>
  <c r="G7" i="4"/>
  <c r="F7" i="4"/>
  <c r="E7" i="4"/>
  <c r="D7" i="4"/>
  <c r="C7" i="4"/>
  <c r="G6" i="4"/>
  <c r="F6" i="4"/>
  <c r="E6" i="4"/>
  <c r="D6" i="4"/>
  <c r="C6" i="4"/>
  <c r="G5" i="4"/>
  <c r="F5" i="4"/>
  <c r="E5" i="4"/>
  <c r="D5" i="4"/>
  <c r="C5" i="4"/>
  <c r="H1" i="4"/>
  <c r="D19" i="3"/>
  <c r="C19" i="3"/>
  <c r="B19" i="3"/>
  <c r="D7" i="3"/>
  <c r="C7" i="3"/>
  <c r="B7" i="3"/>
  <c r="D5" i="3"/>
  <c r="C5" i="3"/>
  <c r="B5" i="3"/>
  <c r="B50" i="2"/>
  <c r="G39" i="2"/>
  <c r="H39" i="2" s="1"/>
  <c r="F38" i="2"/>
  <c r="E38" i="2"/>
  <c r="D38" i="2"/>
  <c r="C38" i="2"/>
  <c r="B38" i="2"/>
  <c r="F37" i="2"/>
  <c r="E37" i="2"/>
  <c r="D37" i="2"/>
  <c r="C37" i="2"/>
  <c r="B37" i="2"/>
  <c r="F36" i="2"/>
  <c r="E36" i="2"/>
  <c r="D36" i="2"/>
  <c r="C36" i="2"/>
  <c r="B36" i="2"/>
  <c r="F35" i="2"/>
  <c r="E35" i="2"/>
  <c r="D35" i="2"/>
  <c r="C35" i="2"/>
  <c r="B35" i="2"/>
  <c r="F34" i="2"/>
  <c r="E34" i="2"/>
  <c r="D34" i="2"/>
  <c r="C34" i="2"/>
  <c r="B34" i="2"/>
  <c r="F28" i="2"/>
  <c r="F29" i="2" s="1"/>
  <c r="E28" i="2"/>
  <c r="E29" i="2" s="1"/>
  <c r="D28" i="2"/>
  <c r="D29" i="2" s="1"/>
  <c r="C28" i="2"/>
  <c r="C29" i="2" s="1"/>
  <c r="B28" i="2"/>
  <c r="B29" i="2" s="1"/>
  <c r="H20" i="2"/>
  <c r="G20" i="2"/>
  <c r="D6" i="3" s="1"/>
  <c r="H19" i="2"/>
  <c r="G19" i="2"/>
  <c r="C6" i="3" s="1"/>
  <c r="H18" i="2"/>
  <c r="G18" i="2"/>
  <c r="B6" i="3" s="1"/>
  <c r="B8" i="1"/>
  <c r="N4" i="1"/>
  <c r="B4" i="1"/>
  <c r="N3" i="1"/>
  <c r="S2" i="1"/>
  <c r="B47" i="6" l="1"/>
  <c r="D47" i="6" s="1"/>
  <c r="A33" i="6"/>
  <c r="G38" i="6"/>
  <c r="F38" i="6"/>
  <c r="B26" i="6"/>
  <c r="E38" i="6"/>
  <c r="D38" i="6"/>
  <c r="C5" i="6"/>
  <c r="H31" i="4"/>
  <c r="G17" i="4"/>
  <c r="G8" i="6"/>
  <c r="F17" i="4"/>
  <c r="G12" i="4"/>
  <c r="G23" i="4" s="1"/>
  <c r="E17" i="4"/>
  <c r="F12" i="4"/>
  <c r="F23" i="4" s="1"/>
  <c r="D17" i="4"/>
  <c r="E12" i="4"/>
  <c r="E23" i="4" s="1"/>
  <c r="D8" i="6"/>
  <c r="C12" i="4"/>
  <c r="C23" i="4" s="1"/>
  <c r="C17" i="4"/>
  <c r="C8" i="6"/>
  <c r="D12" i="4"/>
  <c r="D23" i="4" s="1"/>
  <c r="G16" i="4"/>
  <c r="G11" i="4"/>
  <c r="G22" i="4" s="1"/>
  <c r="F16" i="4"/>
  <c r="F11" i="4"/>
  <c r="F22" i="4" s="1"/>
  <c r="E16" i="4"/>
  <c r="D7" i="6"/>
  <c r="E11" i="4"/>
  <c r="E22" i="4" s="1"/>
  <c r="D16" i="4"/>
  <c r="C11" i="4"/>
  <c r="C22" i="4" s="1"/>
  <c r="D11" i="4"/>
  <c r="D22" i="4" s="1"/>
  <c r="C16" i="4"/>
  <c r="G8" i="4"/>
  <c r="G7" i="6" s="1"/>
  <c r="G15" i="4"/>
  <c r="F8" i="4"/>
  <c r="G10" i="4"/>
  <c r="F15" i="4"/>
  <c r="F10" i="4"/>
  <c r="E8" i="4"/>
  <c r="E7" i="6" s="1"/>
  <c r="E15" i="4"/>
  <c r="D15" i="4"/>
  <c r="E10" i="4"/>
  <c r="D8" i="4"/>
  <c r="C15" i="4"/>
  <c r="D10" i="4"/>
  <c r="C8" i="4"/>
  <c r="C10" i="4"/>
  <c r="E36" i="4"/>
  <c r="E11" i="6" s="1"/>
  <c r="D36" i="4"/>
  <c r="D11" i="6" s="1"/>
  <c r="C36" i="4"/>
  <c r="B47" i="4"/>
  <c r="G36" i="4"/>
  <c r="G11" i="6" s="1"/>
  <c r="F36" i="4"/>
  <c r="F11" i="6" s="1"/>
  <c r="C50" i="2"/>
  <c r="F8" i="6" l="1"/>
  <c r="F7" i="6"/>
  <c r="C29" i="6"/>
  <c r="D29" i="6"/>
  <c r="E29" i="6"/>
  <c r="C30" i="6"/>
  <c r="D30" i="6"/>
  <c r="E30" i="6"/>
  <c r="C31" i="6"/>
  <c r="D31" i="6"/>
  <c r="E31" i="6"/>
  <c r="C38" i="6"/>
  <c r="G25" i="4"/>
  <c r="G29" i="4" s="1"/>
  <c r="G18" i="4"/>
  <c r="G19" i="4" s="1"/>
  <c r="G40" i="6" s="1"/>
  <c r="G41" i="6" s="1"/>
  <c r="G13" i="4"/>
  <c r="G21" i="4"/>
  <c r="F18" i="4"/>
  <c r="F19" i="4" s="1"/>
  <c r="F40" i="6" s="1"/>
  <c r="F41" i="6" s="1"/>
  <c r="F25" i="4"/>
  <c r="F29" i="4" s="1"/>
  <c r="F13" i="4"/>
  <c r="F21" i="4"/>
  <c r="E18" i="4"/>
  <c r="E19" i="4" s="1"/>
  <c r="E40" i="6" s="1"/>
  <c r="E25" i="4"/>
  <c r="E29" i="4" s="1"/>
  <c r="D25" i="4"/>
  <c r="D29" i="4" s="1"/>
  <c r="D18" i="4"/>
  <c r="D19" i="4" s="1"/>
  <c r="D40" i="6" s="1"/>
  <c r="D41" i="6" s="1"/>
  <c r="E13" i="4"/>
  <c r="E21" i="4"/>
  <c r="C18" i="4"/>
  <c r="C25" i="4"/>
  <c r="D13" i="4"/>
  <c r="D21" i="4"/>
  <c r="C13" i="4"/>
  <c r="C21" i="4"/>
  <c r="C11" i="6"/>
  <c r="H36" i="4"/>
  <c r="B20" i="5"/>
  <c r="B48" i="4"/>
  <c r="B50" i="4"/>
  <c r="H23" i="4"/>
  <c r="H22" i="4"/>
  <c r="G18" i="6"/>
  <c r="G6" i="6"/>
  <c r="F18" i="6"/>
  <c r="F6" i="6"/>
  <c r="E18" i="6"/>
  <c r="E8" i="6"/>
  <c r="E6" i="6"/>
  <c r="D18" i="6"/>
  <c r="D6" i="6"/>
  <c r="C18" i="6"/>
  <c r="C7" i="6"/>
  <c r="C6" i="6"/>
  <c r="B27" i="6"/>
  <c r="G28" i="4" l="1"/>
  <c r="G30" i="4" s="1"/>
  <c r="G32" i="4" s="1"/>
  <c r="G24" i="4"/>
  <c r="F28" i="4"/>
  <c r="F30" i="4" s="1"/>
  <c r="F32" i="4" s="1"/>
  <c r="F24" i="4"/>
  <c r="F26" i="4" s="1"/>
  <c r="E24" i="4"/>
  <c r="E26" i="4" s="1"/>
  <c r="E28" i="4"/>
  <c r="E30" i="4" s="1"/>
  <c r="E32" i="4" s="1"/>
  <c r="H18" i="4"/>
  <c r="C19" i="4"/>
  <c r="H25" i="4"/>
  <c r="C29" i="4"/>
  <c r="H29" i="4" s="1"/>
  <c r="D24" i="4"/>
  <c r="D26" i="4" s="1"/>
  <c r="D28" i="4"/>
  <c r="D30" i="4" s="1"/>
  <c r="D32" i="4" s="1"/>
  <c r="H21" i="4"/>
  <c r="C28" i="4"/>
  <c r="C24" i="4"/>
  <c r="B23" i="5"/>
  <c r="B51" i="4"/>
  <c r="B22" i="5"/>
  <c r="G10" i="6"/>
  <c r="G9" i="6"/>
  <c r="F10" i="6"/>
  <c r="F9" i="6"/>
  <c r="E10" i="6"/>
  <c r="E9" i="6"/>
  <c r="D10" i="6"/>
  <c r="D9" i="6"/>
  <c r="C10" i="6"/>
  <c r="C9" i="6"/>
  <c r="H13" i="4"/>
  <c r="E41" i="6"/>
  <c r="B42" i="6"/>
  <c r="G26" i="4" l="1"/>
  <c r="B12" i="1" s="1"/>
  <c r="F34" i="4"/>
  <c r="F43" i="4"/>
  <c r="E43" i="4"/>
  <c r="E34" i="4"/>
  <c r="H19" i="4"/>
  <c r="C40" i="6"/>
  <c r="C41" i="6" s="1"/>
  <c r="D34" i="4"/>
  <c r="D43" i="4"/>
  <c r="C30" i="4"/>
  <c r="H28" i="4"/>
  <c r="H24" i="4"/>
  <c r="C26" i="4"/>
  <c r="B24" i="5"/>
  <c r="G13" i="6"/>
  <c r="G12" i="6"/>
  <c r="G15" i="6" s="1"/>
  <c r="F13" i="6"/>
  <c r="F12" i="6"/>
  <c r="F15" i="6" s="1"/>
  <c r="E13" i="6"/>
  <c r="E12" i="6"/>
  <c r="E15" i="6" s="1"/>
  <c r="B32" i="6"/>
  <c r="D13" i="6"/>
  <c r="D12" i="6"/>
  <c r="D15" i="6" s="1"/>
  <c r="C13" i="6"/>
  <c r="C12" i="6"/>
  <c r="C15" i="6" s="1"/>
  <c r="E47" i="6"/>
  <c r="E46" i="6"/>
  <c r="E45" i="6"/>
  <c r="G43" i="4" l="1"/>
  <c r="G34" i="4"/>
  <c r="G35" i="4" s="1"/>
  <c r="F12" i="1" s="1"/>
  <c r="B11" i="1"/>
  <c r="C32" i="4"/>
  <c r="H30" i="4"/>
  <c r="H26" i="4"/>
  <c r="C34" i="4"/>
  <c r="C35" i="4" s="1"/>
  <c r="C43" i="4"/>
  <c r="G16" i="6"/>
  <c r="G14" i="6"/>
  <c r="G17" i="6" s="1"/>
  <c r="F16" i="6"/>
  <c r="F14" i="6"/>
  <c r="F17" i="6" s="1"/>
  <c r="E14" i="6"/>
  <c r="E17" i="6" s="1"/>
  <c r="E16" i="6"/>
  <c r="E32" i="6"/>
  <c r="N11" i="1" s="1"/>
  <c r="D32" i="6"/>
  <c r="N12" i="1" s="1"/>
  <c r="C32" i="6"/>
  <c r="D16" i="6"/>
  <c r="D14" i="6"/>
  <c r="D17" i="6" s="1"/>
  <c r="C16" i="6"/>
  <c r="C14" i="6"/>
  <c r="C17" i="6" s="1"/>
  <c r="F47" i="6"/>
  <c r="G47" i="6"/>
  <c r="F46" i="6"/>
  <c r="G46" i="6"/>
  <c r="F45" i="6"/>
  <c r="G45" i="6"/>
  <c r="F37" i="4"/>
  <c r="F35" i="4"/>
  <c r="E37" i="4"/>
  <c r="E35" i="4"/>
  <c r="D37" i="4"/>
  <c r="D35" i="4"/>
  <c r="F11" i="1" l="1"/>
  <c r="G37" i="4"/>
  <c r="H32" i="4"/>
  <c r="C37" i="4"/>
  <c r="H34" i="4"/>
  <c r="G19" i="6"/>
  <c r="G20" i="6"/>
  <c r="G21" i="6"/>
  <c r="F20" i="6"/>
  <c r="F19" i="6"/>
  <c r="F21" i="6"/>
  <c r="E19" i="6"/>
  <c r="E20" i="6"/>
  <c r="E21" i="6"/>
  <c r="D20" i="6"/>
  <c r="D19" i="6"/>
  <c r="D21" i="6"/>
  <c r="C19" i="6"/>
  <c r="C20" i="6"/>
  <c r="C21" i="6"/>
  <c r="H37" i="4" l="1"/>
  <c r="C39" i="4"/>
  <c r="C41" i="4" l="1"/>
  <c r="C42" i="4" s="1"/>
  <c r="C44" i="4" s="1"/>
  <c r="C40" i="4"/>
  <c r="D38" i="4" s="1"/>
  <c r="C52" i="4" l="1"/>
  <c r="C45" i="4"/>
  <c r="D39" i="4"/>
  <c r="D41" i="4" l="1"/>
  <c r="D42" i="4" s="1"/>
  <c r="D44" i="4" s="1"/>
  <c r="D40" i="4"/>
  <c r="E38" i="4" s="1"/>
  <c r="C47" i="4"/>
  <c r="E39" i="4"/>
  <c r="D45" i="4"/>
  <c r="D47" i="4" s="1"/>
  <c r="D52" i="4"/>
  <c r="C48" i="4" l="1"/>
  <c r="C20" i="5"/>
  <c r="C50" i="4"/>
  <c r="D50" i="4"/>
  <c r="D22" i="5" s="1"/>
  <c r="D20" i="5"/>
  <c r="E41" i="4"/>
  <c r="E42" i="4" s="1"/>
  <c r="E44" i="4" s="1"/>
  <c r="E40" i="4"/>
  <c r="F38" i="4" s="1"/>
  <c r="C23" i="5" l="1"/>
  <c r="D48" i="4"/>
  <c r="D53" i="4" s="1"/>
  <c r="C53" i="4"/>
  <c r="C51" i="4"/>
  <c r="C22" i="5"/>
  <c r="E52" i="4"/>
  <c r="E45" i="4"/>
  <c r="F39" i="4"/>
  <c r="D23" i="5" l="1"/>
  <c r="C24" i="5"/>
  <c r="D51" i="4"/>
  <c r="D54" i="4" s="1"/>
  <c r="C54" i="4"/>
  <c r="E47" i="4"/>
  <c r="E48" i="4" s="1"/>
  <c r="E53" i="4" s="1"/>
  <c r="F41" i="4"/>
  <c r="F42" i="4" s="1"/>
  <c r="F44" i="4" s="1"/>
  <c r="F40" i="4"/>
  <c r="G38" i="4" s="1"/>
  <c r="E23" i="5" l="1"/>
  <c r="E51" i="4"/>
  <c r="E54" i="4" s="1"/>
  <c r="D24" i="5"/>
  <c r="E50" i="4"/>
  <c r="E20" i="5"/>
  <c r="F52" i="4"/>
  <c r="F45" i="4"/>
  <c r="G39" i="4"/>
  <c r="E24" i="5" l="1"/>
  <c r="E22" i="5"/>
  <c r="F47" i="4"/>
  <c r="G41" i="4"/>
  <c r="G42" i="4" s="1"/>
  <c r="G44" i="4" s="1"/>
  <c r="G40" i="4"/>
  <c r="F48" i="4" l="1"/>
  <c r="F50" i="4"/>
  <c r="F20" i="5"/>
  <c r="G52" i="4"/>
  <c r="B60" i="4" s="1"/>
  <c r="G45" i="4"/>
  <c r="H44" i="4"/>
  <c r="F23" i="5" l="1"/>
  <c r="G48" i="4"/>
  <c r="F53" i="4"/>
  <c r="B64" i="4"/>
  <c r="F51" i="4"/>
  <c r="F22" i="5"/>
  <c r="B8" i="5"/>
  <c r="D8" i="5" s="1"/>
  <c r="J7" i="1"/>
  <c r="H45" i="4"/>
  <c r="G47" i="4"/>
  <c r="J11" i="1" l="1"/>
  <c r="B14" i="5"/>
  <c r="B65" i="4"/>
  <c r="F24" i="5"/>
  <c r="F54" i="4"/>
  <c r="B30" i="5"/>
  <c r="D30" i="5"/>
  <c r="B63" i="4"/>
  <c r="B13" i="5" s="1"/>
  <c r="F30" i="5"/>
  <c r="G30" i="5"/>
  <c r="E30" i="5"/>
  <c r="H30" i="5"/>
  <c r="B57" i="4"/>
  <c r="C30" i="5"/>
  <c r="H47" i="4"/>
  <c r="G20" i="5"/>
  <c r="G50" i="4"/>
  <c r="G51" i="4" s="1"/>
  <c r="G23" i="5"/>
  <c r="G53" i="4"/>
  <c r="B58" i="4" s="1"/>
  <c r="B15" i="5" l="1"/>
  <c r="J12" i="1"/>
  <c r="B7" i="5"/>
  <c r="D7" i="5" s="1"/>
  <c r="S4" i="1"/>
  <c r="F7" i="1"/>
  <c r="B61" i="4"/>
  <c r="B56" i="4"/>
  <c r="B14" i="1" s="1"/>
  <c r="G22" i="5"/>
  <c r="B25" i="5" s="1"/>
  <c r="N7" i="1"/>
  <c r="B11" i="5"/>
  <c r="D11" i="5" s="1"/>
  <c r="G24" i="5"/>
  <c r="G54" i="4"/>
  <c r="B59" i="4" s="1"/>
  <c r="J8" i="1" l="1"/>
  <c r="B9" i="5"/>
  <c r="D9" i="5" s="1"/>
  <c r="B6" i="5"/>
  <c r="D6" i="5" s="1"/>
  <c r="S3" i="1"/>
  <c r="B62" i="4"/>
  <c r="B10" i="5" s="1"/>
  <c r="D10" i="5" s="1"/>
  <c r="B7" i="1"/>
  <c r="B12" i="5"/>
  <c r="D12" i="5" s="1"/>
  <c r="N8" i="1"/>
</calcChain>
</file>

<file path=xl/sharedStrings.xml><?xml version="1.0" encoding="utf-8"?>
<sst xmlns="http://schemas.openxmlformats.org/spreadsheetml/2006/main" count="367" uniqueCount="275">
  <si>
    <t>Salud Móvil · Plan financiero B2B</t>
  </si>
  <si>
    <t>ESCENARIO DEL PRESUPUESTO</t>
  </si>
  <si>
    <t>VAN (C$)</t>
  </si>
  <si>
    <t>TIR</t>
  </si>
  <si>
    <t>RCB (BENEFICIO / COSTO)</t>
  </si>
  <si>
    <t>PRI · RECUPERACIÓN (AÑOS)</t>
  </si>
  <si>
    <t>INGRESOS AÑO 5 (C$)</t>
  </si>
  <si>
    <t>EBITDA AÑO 5 (C$)</t>
  </si>
  <si>
    <t>FINANCIAMIENTO MÁXIMO (C$)</t>
  </si>
  <si>
    <t>MÍNIMO ESTABLE (INSTITUCIONES)</t>
  </si>
  <si>
    <t>EVOLUCIÓN DEL NEGOCIO</t>
  </si>
  <si>
    <t>CÓMO USAR ESTE MODELO</t>
  </si>
  <si>
    <t>1 · Todo el libro corresponde al escenario optimista: 130% de las instituciones, precios +5% y costos variables -5% sobre las cifras de lista.</t>
  </si>
  <si>
    <t>2 · Cambia precios, instituciones por año, costos, inversión y las palancas del escenario en la hoja Supuestos (celdas azules con fondo crema).</t>
  </si>
  <si>
    <t>3 · Revisa el presupuesto en Modelo y los indicadores en Indicadores; el mínimo de instituciones para ser estable está en Equilibrio.</t>
  </si>
  <si>
    <t>4 · Planes resume qué recibe cada institución según el plan que contrate.</t>
  </si>
  <si>
    <t>Supuestos del modelo</t>
  </si>
  <si>
    <t>Celdas en azul con fondo crema = valores editables · negro = fórmulas · verde = vínculos a otras hojas. Todo el libro se recalcula solo.</t>
  </si>
  <si>
    <t>1 · Parámetros generales</t>
  </si>
  <si>
    <t>Tipo de cambio (C$ por US$)</t>
  </si>
  <si>
    <t>BCN: tipo de cambio oficial fijo en 2026 (deslizamiento 0%).</t>
  </si>
  <si>
    <t>TMAR (tasa mínima atractiva de rendimiento)</t>
  </si>
  <si>
    <t>Supuesto de la conversación: compensa inflación, costo de oportunidad y riesgo.</t>
  </si>
  <si>
    <t>Impuesto sobre la renta (IR)</t>
  </si>
  <si>
    <t>Supuesto a validar con un contador.</t>
  </si>
  <si>
    <t>Pago mínimo definitivo (% de ingresos brutos)</t>
  </si>
  <si>
    <t>Costo directo de implementación (% de la cuota)</t>
  </si>
  <si>
    <t>Capacitación, viáticos y horas de configuración.</t>
  </si>
  <si>
    <t>Colchón de seguridad para el mínimo estable</t>
  </si>
  <si>
    <t>20% = aguantar la salida de 1 de cada 5 instituciones.</t>
  </si>
  <si>
    <t>Vida útil para amortizar la inversión (años)</t>
  </si>
  <si>
    <t>Línea recta sobre toda la inversión inicial.</t>
  </si>
  <si>
    <t>Colchón sobre la necesidad de financiamiento</t>
  </si>
  <si>
    <t>Se redondea hacia arriba a múltiplos de C$50,000.</t>
  </si>
  <si>
    <t>Ventas y marketing (% de los costos fijos)</t>
  </si>
  <si>
    <t>Para calcular el CAC.</t>
  </si>
  <si>
    <t>Escenario del presupuesto</t>
  </si>
  <si>
    <t>Optimista</t>
  </si>
  <si>
    <t>Palancas editables en la sección 6.</t>
  </si>
  <si>
    <t>2 · Planes y precios por institución</t>
  </si>
  <si>
    <t>Plan</t>
  </si>
  <si>
    <t>Precio mensual (C$)</t>
  </si>
  <si>
    <t>Cuota de implementación (C$)</t>
  </si>
  <si>
    <t>Costo variable (% de la suscripción)</t>
  </si>
  <si>
    <t>Bajas anuales</t>
  </si>
  <si>
    <t>Pacientes activos por institución</t>
  </si>
  <si>
    <t>Precio mensual (US$)</t>
  </si>
  <si>
    <t>Precio por paciente al mes (C$)</t>
  </si>
  <si>
    <t>Esencial</t>
  </si>
  <si>
    <t>Profesional</t>
  </si>
  <si>
    <t>Premium</t>
  </si>
  <si>
    <t>Los precios, límites y costos por plan son supuestos de este plan; validarlos con clientes reales antes del lanzamiento.</t>
  </si>
  <si>
    <t>3 · Instituciones de pago al cierre de cada año (netas de bajas)</t>
  </si>
  <si>
    <t>Año 1</t>
  </si>
  <si>
    <t>Año 2</t>
  </si>
  <si>
    <t>Año 3</t>
  </si>
  <si>
    <t>Año 4</t>
  </si>
  <si>
    <t>Año 5</t>
  </si>
  <si>
    <t>Cifras de lista de la conversación (2, 5, 10, 18 y 30). El escenario optimista las multiplica por la palanca de la sección 6.</t>
  </si>
  <si>
    <t>Total instituciones al cierre</t>
  </si>
  <si>
    <t>Instituciones en el escenario optimista (cierre)</t>
  </si>
  <si>
    <t>4 · Costos fijos anuales (C$)</t>
  </si>
  <si>
    <t>Concepto</t>
  </si>
  <si>
    <t>% del total</t>
  </si>
  <si>
    <t>Costos fijos totales</t>
  </si>
  <si>
    <t>Valores de la conversación; incluyen equipo, soporte, ventas, infraestructura y administración.</t>
  </si>
  <si>
    <t>Reparto por categoría (informativo)</t>
  </si>
  <si>
    <t>Equipo técnico (desarrollo y mantenimiento)</t>
  </si>
  <si>
    <t>Soporte y éxito del cliente</t>
  </si>
  <si>
    <t>Ventas y marketing B2B</t>
  </si>
  <si>
    <t>Infraestructura base y seguridad</t>
  </si>
  <si>
    <t>Administración, legal y contabilidad</t>
  </si>
  <si>
    <t>Control: el reparto debe sumar 100%</t>
  </si>
  <si>
    <t>5 · Inversión inicial (C$)</t>
  </si>
  <si>
    <t>Monto (C$)</t>
  </si>
  <si>
    <t>Tratamiento</t>
  </si>
  <si>
    <t>Desarrollo / MVP</t>
  </si>
  <si>
    <t>Activo intangible</t>
  </si>
  <si>
    <t>Infraestructura y configuración</t>
  </si>
  <si>
    <t>Seguridad y privacidad</t>
  </si>
  <si>
    <t>Marketing de lanzamiento</t>
  </si>
  <si>
    <t>Gasto preoperativo</t>
  </si>
  <si>
    <t>Capacitación y pilotos</t>
  </si>
  <si>
    <t>Legal y documentación</t>
  </si>
  <si>
    <t>Contingencia</t>
  </si>
  <si>
    <t>Inversión inicial total</t>
  </si>
  <si>
    <t>6 · Escenario optimista (palancas sobre las cifras de lista)</t>
  </si>
  <si>
    <t>Escenario</t>
  </si>
  <si>
    <t>Instituciones (% de la lista)</t>
  </si>
  <si>
    <t>Precios (% de la lista)</t>
  </si>
  <si>
    <t>Costos variables (% de la lista)</t>
  </si>
  <si>
    <t>Costos fijos (% de la lista)</t>
  </si>
  <si>
    <t>130% de las instituciones, precios +5%, costos variables -5%. Con 100% en las cuatro palancas se obtiene el caso de lista.</t>
  </si>
  <si>
    <t>Matriz de planes para instituciones</t>
  </si>
  <si>
    <t>Los precios y la cuota se leen de Supuestos; el resto de las celdas (azul) son texto editable. † = función que debe construirse en la app.</t>
  </si>
  <si>
    <t>Característica</t>
  </si>
  <si>
    <t>Precio mensual por institución (C$)</t>
  </si>
  <si>
    <t>Cuota única de implementación (C$)</t>
  </si>
  <si>
    <t>Pacientes activos incluidos</t>
  </si>
  <si>
    <t>hasta 300</t>
  </si>
  <si>
    <t>hasta 1,000</t>
  </si>
  <si>
    <t>sin límite</t>
  </si>
  <si>
    <t>Historial y datos por paciente</t>
  </si>
  <si>
    <t>6 meses</t>
  </si>
  <si>
    <t>24 meses</t>
  </si>
  <si>
    <t>Indicadores, citas, recordatorios, historial médico y emergencia</t>
  </si>
  <si>
    <t>Sí</t>
  </si>
  <si>
    <t>Medicamentos</t>
  </si>
  <si>
    <t>Registro manual</t>
  </si>
  <si>
    <t>Registro manual + 30 escaneos por paciente al mes †</t>
  </si>
  <si>
    <t>Escáner ilimitado †</t>
  </si>
  <si>
    <t>Actividad física</t>
  </si>
  <si>
    <t>No incluida</t>
  </si>
  <si>
    <t>Registro básico</t>
  </si>
  <si>
    <t>Registro completo con metas e historial</t>
  </si>
  <si>
    <t>Familiares y cuidadores vinculados</t>
  </si>
  <si>
    <t>1 por paciente</t>
  </si>
  <si>
    <t>hasta 3</t>
  </si>
  <si>
    <t>IPCP (priorización de pacientes)</t>
  </si>
  <si>
    <t>No incluido</t>
  </si>
  <si>
    <t>Sí, con alertas al personal</t>
  </si>
  <si>
    <t>Recursos de salud</t>
  </si>
  <si>
    <t>Mapa de salud</t>
  </si>
  <si>
    <t>Mapa + referencias</t>
  </si>
  <si>
    <t>Mapa + referencias + tiempos de espera y guía de hospital</t>
  </si>
  <si>
    <t>Reportes institucionales</t>
  </si>
  <si>
    <t>Resumen mensual</t>
  </si>
  <si>
    <t>Tablero de uso</t>
  </si>
  <si>
    <t>Tablero + exportación + API †</t>
  </si>
  <si>
    <t>Soporte</t>
  </si>
  <si>
    <t>Correo (48 h)</t>
  </si>
  <si>
    <t>Correo y chat (24 h)</t>
  </si>
  <si>
    <t>Prioritario (4 h) y gestor de cuenta</t>
  </si>
  <si>
    <t>Marca propia</t>
  </si>
  <si>
    <t>No</t>
  </si>
  <si>
    <t>Logo de la institución</t>
  </si>
  <si>
    <t>Marca completa †</t>
  </si>
  <si>
    <t>Margen de contribución esperado del plan</t>
  </si>
  <si>
    <t>† No aparece en el código actual de la app móvil; su desarrollo debe entrar en la hoja de ruta de producto.</t>
  </si>
  <si>
    <t>Presupuesto y modelo financiero a 5 años · escenario optimista</t>
  </si>
  <si>
    <t>Escenario:</t>
  </si>
  <si>
    <t>C$ (córdobas)</t>
  </si>
  <si>
    <t>Año 0</t>
  </si>
  <si>
    <t>Total 5 años</t>
  </si>
  <si>
    <t>Período (t)</t>
  </si>
  <si>
    <t>Instituciones de pago al cierre del año</t>
  </si>
  <si>
    <t xml:space="preserve">   Esencial</t>
  </si>
  <si>
    <t xml:space="preserve">   Profesional</t>
  </si>
  <si>
    <t xml:space="preserve">   Premium</t>
  </si>
  <si>
    <t>Total al cierre</t>
  </si>
  <si>
    <t>Instituciones facturadas (promedio del año)</t>
  </si>
  <si>
    <t>Total facturado</t>
  </si>
  <si>
    <t>Altas</t>
  </si>
  <si>
    <t xml:space="preserve">   Altas netas Esencial</t>
  </si>
  <si>
    <t xml:space="preserve">   Altas netas Profesional</t>
  </si>
  <si>
    <t xml:space="preserve">   Altas netas Premium</t>
  </si>
  <si>
    <t>Altas netas totales</t>
  </si>
  <si>
    <t>Altas brutas estimadas (netas + reposición de bajas)</t>
  </si>
  <si>
    <t>Ingresos (C$)</t>
  </si>
  <si>
    <t xml:space="preserve">   Suscripción Esencial</t>
  </si>
  <si>
    <t xml:space="preserve">   Suscripción Profesional</t>
  </si>
  <si>
    <t xml:space="preserve">   Suscripción Premium</t>
  </si>
  <si>
    <t>Ingresos por suscripción</t>
  </si>
  <si>
    <t>Cuotas de implementación</t>
  </si>
  <si>
    <t>INGRESOS TOTALES</t>
  </si>
  <si>
    <t>Costos (C$)</t>
  </si>
  <si>
    <t xml:space="preserve">   Costos variables de la suscripción</t>
  </si>
  <si>
    <t xml:space="preserve">   Costos directos de implementación</t>
  </si>
  <si>
    <t>Costos variables totales</t>
  </si>
  <si>
    <t>Costos fijos</t>
  </si>
  <si>
    <t>COSTOS TOTALES</t>
  </si>
  <si>
    <t>Estado de resultados (C$)</t>
  </si>
  <si>
    <t>EBITDA</t>
  </si>
  <si>
    <t xml:space="preserve">   Margen EBITDA</t>
  </si>
  <si>
    <t>(–) Amortización de la inversión</t>
  </si>
  <si>
    <t>Utilidad antes de impuestos</t>
  </si>
  <si>
    <t xml:space="preserve">   Pérdidas por compensar (inicio)</t>
  </si>
  <si>
    <t xml:space="preserve">   Pérdidas compensadas en el año</t>
  </si>
  <si>
    <t xml:space="preserve">   Pérdidas por compensar (cierre)</t>
  </si>
  <si>
    <t xml:space="preserve">   Base imponible</t>
  </si>
  <si>
    <t xml:space="preserve">   IR sobre la base imponible</t>
  </si>
  <si>
    <t xml:space="preserve">   Pago mínimo definitivo</t>
  </si>
  <si>
    <t>(–) Impuesto pagado (el mayor de los dos)</t>
  </si>
  <si>
    <t>UTILIDAD NETA</t>
  </si>
  <si>
    <t>Flujo de caja libre (C$)</t>
  </si>
  <si>
    <t>FLUJO DE CAJA LIBRE</t>
  </si>
  <si>
    <t xml:space="preserve">   Flujo acumulado</t>
  </si>
  <si>
    <t xml:space="preserve">   Factor de descuento (TMAR)</t>
  </si>
  <si>
    <t xml:space="preserve">   Flujo descontado</t>
  </si>
  <si>
    <t xml:space="preserve">   Flujo descontado acumulado</t>
  </si>
  <si>
    <t xml:space="preserve">   Egresos operativos + impuestos</t>
  </si>
  <si>
    <t xml:space="preserve">   Auxiliar PRI</t>
  </si>
  <si>
    <t xml:space="preserve">   Auxiliar PRI descontado</t>
  </si>
  <si>
    <t>Indicadores de evaluación</t>
  </si>
  <si>
    <t>PRI (años)</t>
  </si>
  <si>
    <t>PRI descontado (años)</t>
  </si>
  <si>
    <t>RCB (VP ingresos / VP egresos)</t>
  </si>
  <si>
    <t>RBC sobre flujos netos (definición de la conversación)</t>
  </si>
  <si>
    <t>Índice de rentabilidad (1 + VAN / inversión)</t>
  </si>
  <si>
    <t>ROI acumulado a 5 años</t>
  </si>
  <si>
    <t>Necesidad máxima de financiamiento (C$)</t>
  </si>
  <si>
    <t>Financiamiento recomendado (C$)</t>
  </si>
  <si>
    <t>Indicadores de evaluación financiera</t>
  </si>
  <si>
    <t>Calculados sobre el flujo de caja libre después de impuestos del escenario optimista.</t>
  </si>
  <si>
    <t>Indicador</t>
  </si>
  <si>
    <t>Resultado</t>
  </si>
  <si>
    <t>Criterio</t>
  </si>
  <si>
    <t>Lectura</t>
  </si>
  <si>
    <t>TMAR</t>
  </si>
  <si>
    <t>Referencia</t>
  </si>
  <si>
    <t>VAN (valor actual neto, C$)</t>
  </si>
  <si>
    <t>Mayor que 0</t>
  </si>
  <si>
    <t>TIR (tasa interna de retorno)</t>
  </si>
  <si>
    <t>Mayor que la TMAR</t>
  </si>
  <si>
    <t>RCB (relación beneficio / costo)</t>
  </si>
  <si>
    <t>Mayor que 1</t>
  </si>
  <si>
    <t>Índice de rentabilidad</t>
  </si>
  <si>
    <t>PRI (recuperación de la inversión, años)</t>
  </si>
  <si>
    <t>Menor que 5 años</t>
  </si>
  <si>
    <t>Cálculo del VAN y del flujo acumulado (C$)</t>
  </si>
  <si>
    <t>Flujo de caja libre</t>
  </si>
  <si>
    <t>Factor de descuento</t>
  </si>
  <si>
    <t>Flujo descontado</t>
  </si>
  <si>
    <t>Flujo acumulado</t>
  </si>
  <si>
    <t>Flujo descontado acumulado</t>
  </si>
  <si>
    <t>VAN = suma del flujo descontado</t>
  </si>
  <si>
    <t>Sensibilidad del VAN a la TMAR (C$)</t>
  </si>
  <si>
    <t>TMAR (editable)</t>
  </si>
  <si>
    <t>VAN a esa TMAR</t>
  </si>
  <si>
    <t>La TIR es la TMAR a la cual el VAN se hace cero.</t>
  </si>
  <si>
    <t>Punto de equilibrio y mínimo de instituciones para la estabilidad</t>
  </si>
  <si>
    <t>Cuántas instituciones de pago se necesitan según la estructura de costos de cada año (escenario optimista).</t>
  </si>
  <si>
    <t>Unidad</t>
  </si>
  <si>
    <t>Costos fijos del año</t>
  </si>
  <si>
    <t>C$</t>
  </si>
  <si>
    <t xml:space="preserve">   Participación Esencial</t>
  </si>
  <si>
    <t>%</t>
  </si>
  <si>
    <t xml:space="preserve">   Participación Profesional</t>
  </si>
  <si>
    <t xml:space="preserve">   Participación Premium</t>
  </si>
  <si>
    <t>Ingreso por suscripción por institución al año</t>
  </si>
  <si>
    <t>Margen de contribución por institución al año</t>
  </si>
  <si>
    <t>Amortización anual</t>
  </si>
  <si>
    <t>Equilibrio operativo (EBITDA = 0), exacto</t>
  </si>
  <si>
    <t>inst.</t>
  </si>
  <si>
    <t>Equilibrio contable (utilidad neta = 0), exacto</t>
  </si>
  <si>
    <t>Mínimo estable (equilibrio contable + colchón), exacto</t>
  </si>
  <si>
    <t>Instituciones necesarias: equilibrio operativo</t>
  </si>
  <si>
    <t>Instituciones necesarias: equilibrio contable</t>
  </si>
  <si>
    <t>Instituciones necesarias: MÍNIMO ESTABLE</t>
  </si>
  <si>
    <t>Instituciones proyectadas al cierre del año</t>
  </si>
  <si>
    <t>Colchón de la cartera proyectada sobre el mínimo estable</t>
  </si>
  <si>
    <t>Estado de la cartera proyectada</t>
  </si>
  <si>
    <t>Ingreso mensual por suscripciones del mínimo estable</t>
  </si>
  <si>
    <t>Mínimo de instituciones según el plan contratado</t>
  </si>
  <si>
    <t>Año de la estructura de costos a evaluar (1 a 5)</t>
  </si>
  <si>
    <t>Costos fijos de ese año (C$)</t>
  </si>
  <si>
    <t>Amortización anual (C$)</t>
  </si>
  <si>
    <t>Si todas las instituciones fueran del plan</t>
  </si>
  <si>
    <t>Margen anual por institución (C$)</t>
  </si>
  <si>
    <t>Equilibrio operativo</t>
  </si>
  <si>
    <t>Equilibrio contable</t>
  </si>
  <si>
    <t>Mínimo estable</t>
  </si>
  <si>
    <t>Mezcla de planes de ese año</t>
  </si>
  <si>
    <t>Costo de adquisición (CAC) y valor por cliente</t>
  </si>
  <si>
    <t>Ventas y marketing recurrente</t>
  </si>
  <si>
    <t>Marketing de lanzamiento (inversión inicial)</t>
  </si>
  <si>
    <t>Altas brutas estimadas</t>
  </si>
  <si>
    <t>CAC del año por institución nueva</t>
  </si>
  <si>
    <t>CAC promedio de los años 3 a 5</t>
  </si>
  <si>
    <t>Años de cliente esperados en 5 años</t>
  </si>
  <si>
    <t>LTV a 5 años (C$)</t>
  </si>
  <si>
    <t>CAC (C$)</t>
  </si>
  <si>
    <t>LTV / CAC</t>
  </si>
  <si>
    <t>Recuperación del CAC (meses)</t>
  </si>
  <si>
    <t>LTV = margen de 5 años (descontadas las bajas del plan) + cuota de implementación neta de su costo. CAC igual para los tres planes.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</si>
</sst>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0"/>
    <numFmt numFmtId="165" formatCode="0.0%;\(0.0%\);&quot;-&quot;"/>
    <numFmt numFmtId="166" formatCode="#,##0;\(#,##0\);&quot;-&quot;"/>
    <numFmt numFmtId="167" formatCode="#,##0.0"/>
    <numFmt numFmtId="168" formatCode="&quot;≈ US$ &quot;#,##0"/>
    <numFmt numFmtId="169" formatCode="General;\-General;;@"/>
    <numFmt numFmtId="170" formatCode="#,##0.0;\(#,##0.0\);&quot;-&quot;"/>
    <numFmt numFmtId="171" formatCode="0.0"/>
    <numFmt numFmtId="172" formatCode="0.0%"/>
  </numFmts>
  <fonts count="29" x14ac:knownFonts="1">
    <font>
      <sz val="11"/>
      <color theme="1"/>
      <name val="Calibri"/>
      <family val="2"/>
      <scheme val="minor"/>
    </font>
    <font>
      <b/>
      <sz val="16"/>
      <color rgb="FFFFFFFF"/>
      <name val="Arial"/>
      <family val="2"/>
    </font>
    <font>
      <i/>
      <sz val="9"/>
      <color rgb="FF5F6B7A"/>
      <name val="Arial"/>
      <family val="2"/>
    </font>
    <font>
      <b/>
      <sz val="10"/>
      <color rgb="FFFFFFFF"/>
      <name val="Arial"/>
      <family val="2"/>
    </font>
    <font>
      <sz val="10"/>
      <color rgb="FF1F2933"/>
      <name val="Arial"/>
      <family val="2"/>
    </font>
    <font>
      <sz val="10"/>
      <color rgb="FF0000FF"/>
      <name val="Arial"/>
      <family val="2"/>
    </font>
    <font>
      <b/>
      <sz val="10"/>
      <color rgb="FF0B3954"/>
      <name val="Arial"/>
      <family val="2"/>
    </font>
    <font>
      <b/>
      <sz val="9"/>
      <color rgb="FFFFFFFF"/>
      <name val="Arial"/>
      <family val="2"/>
    </font>
    <font>
      <b/>
      <sz val="10"/>
      <color rgb="FF1F2933"/>
      <name val="Arial"/>
      <family val="2"/>
    </font>
    <font>
      <b/>
      <sz val="9"/>
      <color rgb="FF5F6B7A"/>
      <name val="Arial"/>
      <family val="2"/>
    </font>
    <font>
      <b/>
      <sz val="9"/>
      <color rgb="FF2E9E6B"/>
      <name val="Arial"/>
      <family val="2"/>
    </font>
    <font>
      <sz val="9"/>
      <color rgb="FF5F6B7A"/>
      <name val="Arial"/>
      <family val="2"/>
    </font>
    <font>
      <b/>
      <sz val="13"/>
      <color rgb="FF0B3954"/>
      <name val="Arial"/>
      <family val="2"/>
    </font>
    <font>
      <sz val="10"/>
      <color rgb="FF007A33"/>
      <name val="Arial"/>
      <family val="2"/>
    </font>
    <font>
      <b/>
      <sz val="11"/>
      <color rgb="FFE4572E"/>
      <name val="Arial"/>
      <family val="2"/>
    </font>
    <font>
      <b/>
      <sz val="10"/>
      <color rgb="FF007A33"/>
      <name val="Arial"/>
      <family val="2"/>
    </font>
    <font>
      <sz val="9"/>
      <color rgb="FF1F2933"/>
      <name val="Arial"/>
      <family val="2"/>
    </font>
    <font>
      <b/>
      <sz val="9"/>
      <color rgb="FF1F2933"/>
      <name val="Arial"/>
      <family val="2"/>
    </font>
    <font>
      <b/>
      <sz val="24"/>
      <color rgb="FFFFFFFF"/>
      <name val="Arial"/>
      <family val="2"/>
    </font>
    <font>
      <sz val="10"/>
      <color rgb="FFBFD7E3"/>
      <name val="Arial"/>
      <family val="2"/>
    </font>
    <font>
      <b/>
      <sz val="8"/>
      <color rgb="FFBFD7E3"/>
      <name val="Arial"/>
      <family val="2"/>
    </font>
    <font>
      <b/>
      <sz val="16"/>
      <color rgb="FF0B3954"/>
      <name val="Arial"/>
      <family val="2"/>
    </font>
    <font>
      <sz val="8"/>
      <color rgb="FFBFD7E3"/>
      <name val="Arial"/>
      <family val="2"/>
    </font>
    <font>
      <sz val="8"/>
      <color rgb="FFF3F6F9"/>
      <name val="Arial"/>
      <family val="2"/>
    </font>
    <font>
      <b/>
      <sz val="8"/>
      <color rgb="FF5F6B7A"/>
      <name val="Arial"/>
      <family val="2"/>
    </font>
    <font>
      <b/>
      <sz val="22"/>
      <color rgb="FF0B3954"/>
      <name val="Arial"/>
      <family val="2"/>
    </font>
    <font>
      <sz val="8"/>
      <color rgb="FF5F6B7A"/>
      <name val="Arial"/>
      <family val="2"/>
    </font>
    <font>
      <b/>
      <sz val="11"/>
      <color rgb="FF0B3954"/>
      <name val="Arial"/>
      <family val="2"/>
    </font>
    <font>
      <b/>
      <sz val="10"/>
      <color rgb="FF5F6B7A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B3954"/>
        <bgColor rgb="FF0B3954"/>
      </patternFill>
    </fill>
    <fill>
      <patternFill patternType="solid">
        <fgColor rgb="FF1F8A8A"/>
        <bgColor rgb="FF1F8A8A"/>
      </patternFill>
    </fill>
    <fill>
      <patternFill patternType="solid">
        <fgColor rgb="FFFFF8DC"/>
        <bgColor rgb="FFFFF8DC"/>
      </patternFill>
    </fill>
    <fill>
      <patternFill patternType="solid">
        <fgColor rgb="FFD7EEEC"/>
        <bgColor rgb="FFD7EEEC"/>
      </patternFill>
    </fill>
    <fill>
      <patternFill patternType="solid">
        <fgColor rgb="FFF7FBFB"/>
        <bgColor rgb="FFF7FBFB"/>
      </patternFill>
    </fill>
    <fill>
      <patternFill patternType="solid">
        <fgColor rgb="FFF3F6F9"/>
        <bgColor rgb="FFF3F6F9"/>
      </patternFill>
    </fill>
    <fill>
      <patternFill patternType="solid">
        <fgColor rgb="FFF2A541"/>
        <bgColor rgb="FFF2A541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D5DCE4"/>
      </left>
      <right style="thin">
        <color rgb="FFD5DCE4"/>
      </right>
      <top style="thin">
        <color rgb="FFD5DCE4"/>
      </top>
      <bottom style="thin">
        <color rgb="FFD5DCE4"/>
      </bottom>
      <diagonal/>
    </border>
    <border>
      <left/>
      <right/>
      <top style="thin">
        <color rgb="FF0B3954"/>
      </top>
      <bottom/>
      <diagonal/>
    </border>
    <border>
      <left/>
      <right/>
      <top style="thick">
        <color rgb="FF1F8A8A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0" fillId="7" borderId="0" xfId="0" applyFill="1"/>
    <xf numFmtId="0" fontId="0" fillId="2" borderId="0" xfId="0" applyFill="1"/>
    <xf numFmtId="165" fontId="23" fillId="0" borderId="0" xfId="0" applyNumberFormat="1" applyFont="1"/>
    <xf numFmtId="166" fontId="23" fillId="0" borderId="0" xfId="0" applyNumberFormat="1" applyFont="1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3" borderId="0" xfId="0" applyFont="1" applyFill="1"/>
    <xf numFmtId="0" fontId="4" fillId="0" borderId="0" xfId="0" applyFont="1"/>
    <xf numFmtId="164" fontId="5" fillId="4" borderId="1" xfId="0" applyNumberFormat="1" applyFont="1" applyFill="1" applyBorder="1" applyAlignment="1">
      <alignment horizontal="right"/>
    </xf>
    <xf numFmtId="165" fontId="5" fillId="4" borderId="1" xfId="0" applyNumberFormat="1" applyFont="1" applyFill="1" applyBorder="1" applyAlignment="1">
      <alignment horizontal="right"/>
    </xf>
    <xf numFmtId="1" fontId="5" fillId="4" borderId="1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right"/>
    </xf>
    <xf numFmtId="0" fontId="7" fillId="2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  <xf numFmtId="0" fontId="8" fillId="0" borderId="0" xfId="0" applyFont="1"/>
    <xf numFmtId="166" fontId="5" fillId="4" borderId="1" xfId="0" applyNumberFormat="1" applyFont="1" applyFill="1" applyBorder="1" applyAlignment="1">
      <alignment horizontal="right"/>
    </xf>
    <xf numFmtId="4" fontId="4" fillId="0" borderId="1" xfId="0" applyNumberFormat="1" applyFont="1" applyBorder="1" applyAlignment="1">
      <alignment horizontal="right"/>
    </xf>
    <xf numFmtId="167" fontId="4" fillId="0" borderId="1" xfId="0" applyNumberFormat="1" applyFont="1" applyBorder="1" applyAlignment="1">
      <alignment horizontal="right"/>
    </xf>
    <xf numFmtId="3" fontId="5" fillId="4" borderId="1" xfId="0" applyNumberFormat="1" applyFont="1" applyFill="1" applyBorder="1" applyAlignment="1">
      <alignment horizontal="right"/>
    </xf>
    <xf numFmtId="0" fontId="8" fillId="0" borderId="2" xfId="0" applyFont="1" applyBorder="1"/>
    <xf numFmtId="3" fontId="8" fillId="0" borderId="2" xfId="0" applyNumberFormat="1" applyFont="1" applyBorder="1" applyAlignment="1">
      <alignment horizontal="right"/>
    </xf>
    <xf numFmtId="0" fontId="6" fillId="5" borderId="0" xfId="0" applyFont="1" applyFill="1"/>
    <xf numFmtId="167" fontId="6" fillId="5" borderId="0" xfId="0" applyNumberFormat="1" applyFont="1" applyFill="1" applyAlignment="1">
      <alignment horizontal="right"/>
    </xf>
    <xf numFmtId="0" fontId="9" fillId="0" borderId="0" xfId="0" applyFont="1"/>
    <xf numFmtId="166" fontId="4" fillId="0" borderId="1" xfId="0" applyNumberFormat="1" applyFont="1" applyBorder="1" applyAlignment="1">
      <alignment horizontal="right"/>
    </xf>
    <xf numFmtId="9" fontId="5" fillId="4" borderId="1" xfId="0" applyNumberFormat="1" applyFont="1" applyFill="1" applyBorder="1" applyAlignment="1">
      <alignment horizontal="right"/>
    </xf>
    <xf numFmtId="9" fontId="8" fillId="0" borderId="2" xfId="0" applyNumberFormat="1" applyFont="1" applyBorder="1" applyAlignment="1">
      <alignment horizontal="right"/>
    </xf>
    <xf numFmtId="0" fontId="10" fillId="0" borderId="0" xfId="0" applyFont="1"/>
    <xf numFmtId="0" fontId="11" fillId="0" borderId="0" xfId="0" applyFont="1"/>
    <xf numFmtId="166" fontId="8" fillId="0" borderId="2" xfId="0" applyNumberFormat="1" applyFont="1" applyBorder="1" applyAlignment="1">
      <alignment horizontal="right"/>
    </xf>
    <xf numFmtId="168" fontId="11" fillId="0" borderId="0" xfId="0" applyNumberFormat="1" applyFont="1"/>
    <xf numFmtId="0" fontId="8" fillId="0" borderId="1" xfId="0" applyFont="1" applyBorder="1" applyAlignment="1">
      <alignment vertical="center" wrapText="1"/>
    </xf>
    <xf numFmtId="166" fontId="15" fillId="0" borderId="1" xfId="0" applyNumberFormat="1" applyFont="1" applyBorder="1" applyAlignment="1">
      <alignment horizontal="center" vertical="center" wrapText="1"/>
    </xf>
    <xf numFmtId="4" fontId="15" fillId="0" borderId="1" xfId="0" applyNumberFormat="1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9" fontId="15" fillId="0" borderId="1" xfId="0" applyNumberFormat="1" applyFont="1" applyBorder="1" applyAlignment="1">
      <alignment horizontal="center" vertical="center" wrapText="1"/>
    </xf>
    <xf numFmtId="0" fontId="12" fillId="0" borderId="0" xfId="0" applyFont="1"/>
    <xf numFmtId="0" fontId="11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1" fontId="2" fillId="0" borderId="0" xfId="0" applyNumberFormat="1" applyFont="1" applyAlignment="1">
      <alignment horizontal="center"/>
    </xf>
    <xf numFmtId="169" fontId="4" fillId="0" borderId="0" xfId="0" applyNumberFormat="1" applyFont="1"/>
    <xf numFmtId="169" fontId="13" fillId="0" borderId="0" xfId="0" applyNumberFormat="1" applyFont="1"/>
    <xf numFmtId="170" fontId="8" fillId="0" borderId="2" xfId="0" applyNumberFormat="1" applyFont="1" applyBorder="1"/>
    <xf numFmtId="170" fontId="4" fillId="0" borderId="0" xfId="0" applyNumberFormat="1" applyFont="1"/>
    <xf numFmtId="166" fontId="4" fillId="0" borderId="0" xfId="0" applyNumberFormat="1" applyFont="1"/>
    <xf numFmtId="166" fontId="8" fillId="0" borderId="2" xfId="0" applyNumberFormat="1" applyFont="1" applyBorder="1"/>
    <xf numFmtId="166" fontId="13" fillId="0" borderId="0" xfId="0" applyNumberFormat="1" applyFont="1"/>
    <xf numFmtId="165" fontId="4" fillId="0" borderId="0" xfId="0" applyNumberFormat="1" applyFont="1"/>
    <xf numFmtId="166" fontId="11" fillId="0" borderId="0" xfId="0" applyNumberFormat="1" applyFont="1"/>
    <xf numFmtId="166" fontId="13" fillId="0" borderId="2" xfId="0" applyNumberFormat="1" applyFont="1" applyBorder="1"/>
    <xf numFmtId="164" fontId="11" fillId="0" borderId="0" xfId="0" applyNumberFormat="1" applyFont="1"/>
    <xf numFmtId="2" fontId="11" fillId="0" borderId="0" xfId="0" applyNumberFormat="1" applyFont="1"/>
    <xf numFmtId="166" fontId="8" fillId="6" borderId="1" xfId="0" applyNumberFormat="1" applyFont="1" applyFill="1" applyBorder="1" applyAlignment="1">
      <alignment horizontal="right"/>
    </xf>
    <xf numFmtId="166" fontId="8" fillId="0" borderId="0" xfId="0" applyNumberFormat="1" applyFont="1"/>
    <xf numFmtId="165" fontId="8" fillId="6" borderId="1" xfId="0" applyNumberFormat="1" applyFont="1" applyFill="1" applyBorder="1" applyAlignment="1">
      <alignment horizontal="right"/>
    </xf>
    <xf numFmtId="165" fontId="8" fillId="0" borderId="0" xfId="0" applyNumberFormat="1" applyFont="1"/>
    <xf numFmtId="2" fontId="8" fillId="6" borderId="1" xfId="0" applyNumberFormat="1" applyFont="1" applyFill="1" applyBorder="1" applyAlignment="1">
      <alignment horizontal="right"/>
    </xf>
    <xf numFmtId="2" fontId="8" fillId="0" borderId="0" xfId="0" applyNumberFormat="1" applyFont="1"/>
    <xf numFmtId="9" fontId="8" fillId="6" borderId="1" xfId="0" applyNumberFormat="1" applyFont="1" applyFill="1" applyBorder="1" applyAlignment="1">
      <alignment horizontal="right"/>
    </xf>
    <xf numFmtId="9" fontId="8" fillId="0" borderId="0" xfId="0" applyNumberFormat="1" applyFont="1"/>
    <xf numFmtId="165" fontId="15" fillId="0" borderId="1" xfId="0" applyNumberFormat="1" applyFont="1" applyBorder="1" applyAlignment="1">
      <alignment horizontal="right"/>
    </xf>
    <xf numFmtId="0" fontId="11" fillId="0" borderId="0" xfId="0" applyFont="1" applyAlignment="1">
      <alignment horizontal="center"/>
    </xf>
    <xf numFmtId="166" fontId="15" fillId="0" borderId="1" xfId="0" applyNumberFormat="1" applyFont="1" applyBorder="1" applyAlignment="1">
      <alignment horizontal="right"/>
    </xf>
    <xf numFmtId="2" fontId="15" fillId="0" borderId="1" xfId="0" applyNumberFormat="1" applyFont="1" applyBorder="1" applyAlignment="1">
      <alignment horizontal="right"/>
    </xf>
    <xf numFmtId="9" fontId="15" fillId="0" borderId="1" xfId="0" applyNumberFormat="1" applyFont="1" applyBorder="1" applyAlignment="1">
      <alignment horizontal="right"/>
    </xf>
    <xf numFmtId="166" fontId="13" fillId="0" borderId="0" xfId="0" applyNumberFormat="1" applyFont="1" applyAlignment="1">
      <alignment horizontal="right"/>
    </xf>
    <xf numFmtId="164" fontId="13" fillId="0" borderId="0" xfId="0" applyNumberFormat="1" applyFont="1" applyAlignment="1">
      <alignment horizontal="right"/>
    </xf>
    <xf numFmtId="9" fontId="5" fillId="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2" fontId="4" fillId="0" borderId="0" xfId="0" applyNumberFormat="1" applyFont="1" applyAlignment="1">
      <alignment horizontal="right"/>
    </xf>
    <xf numFmtId="1" fontId="4" fillId="0" borderId="0" xfId="0" applyNumberFormat="1" applyFont="1" applyAlignment="1">
      <alignment horizontal="right"/>
    </xf>
    <xf numFmtId="0" fontId="8" fillId="5" borderId="0" xfId="0" applyFont="1" applyFill="1"/>
    <xf numFmtId="1" fontId="6" fillId="5" borderId="0" xfId="0" applyNumberFormat="1" applyFont="1" applyFill="1" applyAlignment="1">
      <alignment horizontal="right"/>
    </xf>
    <xf numFmtId="171" fontId="13" fillId="0" borderId="0" xfId="0" applyNumberFormat="1" applyFont="1" applyAlignment="1">
      <alignment horizontal="right"/>
    </xf>
    <xf numFmtId="0" fontId="17" fillId="0" borderId="0" xfId="0" applyFont="1" applyAlignment="1">
      <alignment horizontal="center" wrapText="1"/>
    </xf>
    <xf numFmtId="1" fontId="5" fillId="4" borderId="1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166" fontId="8" fillId="0" borderId="1" xfId="0" applyNumberFormat="1" applyFont="1" applyBorder="1" applyAlignment="1">
      <alignment horizontal="right"/>
    </xf>
    <xf numFmtId="1" fontId="8" fillId="0" borderId="1" xfId="0" applyNumberFormat="1" applyFont="1" applyBorder="1" applyAlignment="1">
      <alignment horizontal="center"/>
    </xf>
    <xf numFmtId="171" fontId="4" fillId="0" borderId="0" xfId="0" applyNumberFormat="1" applyFont="1" applyAlignment="1">
      <alignment horizontal="right"/>
    </xf>
    <xf numFmtId="166" fontId="8" fillId="0" borderId="0" xfId="0" applyNumberFormat="1" applyFont="1" applyAlignment="1">
      <alignment horizontal="right"/>
    </xf>
    <xf numFmtId="2" fontId="4" fillId="0" borderId="1" xfId="0" applyNumberFormat="1" applyFont="1" applyBorder="1" applyAlignment="1">
      <alignment horizontal="right"/>
    </xf>
    <xf numFmtId="171" fontId="8" fillId="0" borderId="1" xfId="0" applyNumberFormat="1" applyFont="1" applyBorder="1" applyAlignment="1">
      <alignment horizontal="right"/>
    </xf>
    <xf numFmtId="171" fontId="4" fillId="0" borderId="1" xfId="0" applyNumberFormat="1" applyFont="1" applyBorder="1" applyAlignment="1">
      <alignment horizontal="right"/>
    </xf>
    <xf numFmtId="0" fontId="16" fillId="9" borderId="0" xfId="0" applyFont="1" applyFill="1" applyAlignment="1">
      <alignment vertical="center" indent="1"/>
    </xf>
    <xf numFmtId="0" fontId="0" fillId="0" borderId="0" xfId="0"/>
    <xf numFmtId="0" fontId="24" fillId="9" borderId="3" xfId="0" applyFont="1" applyFill="1" applyBorder="1" applyAlignment="1">
      <alignment horizontal="left" vertical="center" indent="1"/>
    </xf>
    <xf numFmtId="0" fontId="0" fillId="9" borderId="3" xfId="0" applyFill="1" applyBorder="1"/>
    <xf numFmtId="0" fontId="28" fillId="7" borderId="0" xfId="0" applyFont="1" applyFill="1"/>
    <xf numFmtId="0" fontId="26" fillId="9" borderId="0" xfId="0" applyFont="1" applyFill="1" applyAlignment="1">
      <alignment horizontal="left" vertical="center" indent="1"/>
    </xf>
    <xf numFmtId="0" fontId="0" fillId="9" borderId="0" xfId="0" applyFill="1"/>
    <xf numFmtId="166" fontId="25" fillId="9" borderId="0" xfId="0" applyNumberFormat="1" applyFont="1" applyFill="1" applyAlignment="1">
      <alignment horizontal="left" vertical="center" indent="1"/>
    </xf>
    <xf numFmtId="1" fontId="25" fillId="9" borderId="0" xfId="0" applyNumberFormat="1" applyFont="1" applyFill="1" applyAlignment="1">
      <alignment horizontal="left" vertical="center" indent="1"/>
    </xf>
    <xf numFmtId="2" fontId="25" fillId="9" borderId="0" xfId="0" applyNumberFormat="1" applyFont="1" applyFill="1" applyAlignment="1">
      <alignment horizontal="left" vertical="center" indent="1"/>
    </xf>
    <xf numFmtId="0" fontId="28" fillId="7" borderId="0" xfId="0" applyFont="1" applyFill="1" applyAlignment="1">
      <alignment vertical="center"/>
    </xf>
    <xf numFmtId="0" fontId="27" fillId="9" borderId="0" xfId="0" applyFont="1" applyFill="1" applyAlignment="1">
      <alignment horizontal="left" vertical="center" indent="1"/>
    </xf>
    <xf numFmtId="0" fontId="19" fillId="2" borderId="0" xfId="0" applyFont="1" applyFill="1"/>
    <xf numFmtId="0" fontId="20" fillId="2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18" fillId="2" borderId="0" xfId="0" applyFont="1" applyFill="1" applyAlignment="1">
      <alignment vertical="center"/>
    </xf>
    <xf numFmtId="172" fontId="25" fillId="9" borderId="0" xfId="0" applyNumberFormat="1" applyFont="1" applyFill="1" applyAlignment="1">
      <alignment horizontal="left" vertical="center" indent="1"/>
    </xf>
    <xf numFmtId="0" fontId="21" fillId="8" borderId="0" xfId="0" applyFont="1" applyFill="1" applyAlignment="1">
      <alignment horizontal="center" vertical="center"/>
    </xf>
    <xf numFmtId="0" fontId="0" fillId="8" borderId="0" xfId="0" applyFill="1"/>
    <xf numFmtId="0" fontId="16" fillId="0" borderId="0" xfId="0" applyFont="1"/>
    <xf numFmtId="0" fontId="7" fillId="2" borderId="0" xfId="0" applyFont="1" applyFill="1" applyAlignment="1">
      <alignment horizontal="left" vertical="center"/>
    </xf>
  </cellXfs>
  <cellStyles count="1">
    <cellStyle name="Normal" xfId="0" builtinId="0"/>
  </cellStyles>
  <dxfs count="29">
    <dxf>
      <fill>
        <patternFill patternType="solid">
          <fgColor rgb="FFFFF1D6"/>
          <bgColor rgb="FFFFF1D6"/>
        </patternFill>
      </fill>
    </dxf>
    <dxf>
      <fill>
        <patternFill patternType="solid">
          <fgColor rgb="FFFFF1D6"/>
          <bgColor rgb="FFFFF1D6"/>
        </patternFill>
      </fill>
    </dxf>
    <dxf>
      <fill>
        <patternFill patternType="solid">
          <fgColor rgb="FFFBE1E3"/>
          <bgColor rgb="FFFBE1E3"/>
        </patternFill>
      </fill>
    </dxf>
    <dxf>
      <fill>
        <patternFill patternType="solid">
          <fgColor rgb="FFDDF3E8"/>
          <bgColor rgb="FFDDF3E8"/>
        </patternFill>
      </fill>
    </dxf>
    <dxf>
      <font>
        <b/>
        <color rgb="FFD64550"/>
      </font>
    </dxf>
    <dxf>
      <fill>
        <patternFill patternType="solid">
          <fgColor rgb="FFFBE1E3"/>
          <bgColor rgb="FFFBE1E3"/>
        </patternFill>
      </fill>
    </dxf>
    <dxf>
      <fill>
        <patternFill patternType="solid">
          <fgColor rgb="FFDDF3E8"/>
          <bgColor rgb="FFDDF3E8"/>
        </patternFill>
      </fill>
    </dxf>
    <dxf>
      <fill>
        <patternFill patternType="solid">
          <fgColor rgb="FFFBE1E3"/>
          <bgColor rgb="FFFBE1E3"/>
        </patternFill>
      </fill>
    </dxf>
    <dxf>
      <fill>
        <patternFill patternType="solid">
          <fgColor rgb="FFDDF3E8"/>
          <bgColor rgb="FFDDF3E8"/>
        </patternFill>
      </fill>
    </dxf>
    <dxf>
      <fill>
        <patternFill patternType="solid">
          <fgColor rgb="FFFBE1E3"/>
          <bgColor rgb="FFFBE1E3"/>
        </patternFill>
      </fill>
    </dxf>
    <dxf>
      <fill>
        <patternFill patternType="solid">
          <fgColor rgb="FFDDF3E8"/>
          <bgColor rgb="FFDDF3E8"/>
        </patternFill>
      </fill>
    </dxf>
    <dxf>
      <fill>
        <patternFill patternType="solid">
          <fgColor rgb="FFFBE1E3"/>
          <bgColor rgb="FFFBE1E3"/>
        </patternFill>
      </fill>
    </dxf>
    <dxf>
      <fill>
        <patternFill patternType="solid">
          <fgColor rgb="FFDDF3E8"/>
          <bgColor rgb="FFDDF3E8"/>
        </patternFill>
      </fill>
    </dxf>
    <dxf>
      <fill>
        <patternFill patternType="solid">
          <fgColor rgb="FFFBE1E3"/>
          <bgColor rgb="FFFBE1E3"/>
        </patternFill>
      </fill>
    </dxf>
    <dxf>
      <fill>
        <patternFill patternType="solid">
          <fgColor rgb="FFDDF3E8"/>
          <bgColor rgb="FFDDF3E8"/>
        </patternFill>
      </fill>
    </dxf>
    <dxf>
      <fill>
        <patternFill patternType="solid">
          <fgColor rgb="FFFBE1E3"/>
          <bgColor rgb="FFFBE1E3"/>
        </patternFill>
      </fill>
    </dxf>
    <dxf>
      <fill>
        <patternFill patternType="solid">
          <fgColor rgb="FFDDF3E8"/>
          <bgColor rgb="FFDDF3E8"/>
        </patternFill>
      </fill>
    </dxf>
    <dxf>
      <fill>
        <patternFill patternType="solid">
          <fgColor rgb="FFFBE1E3"/>
          <bgColor rgb="FFFBE1E3"/>
        </patternFill>
      </fill>
    </dxf>
    <dxf>
      <fill>
        <patternFill patternType="solid">
          <fgColor rgb="FFDDF3E8"/>
          <bgColor rgb="FFDDF3E8"/>
        </patternFill>
      </fill>
    </dxf>
    <dxf>
      <font>
        <b/>
        <color rgb="FFD64550"/>
      </font>
    </dxf>
    <dxf>
      <font>
        <b/>
        <color rgb="FFD64550"/>
      </font>
    </dxf>
    <dxf>
      <font>
        <b/>
        <color rgb="FF2E9E6B"/>
      </font>
    </dxf>
    <dxf>
      <font>
        <b/>
        <color rgb="FFD64550"/>
      </font>
    </dxf>
    <dxf>
      <font>
        <b/>
        <color rgb="FFD64550"/>
      </font>
    </dxf>
    <dxf>
      <font>
        <b/>
        <color rgb="FF2E9E6B"/>
      </font>
    </dxf>
    <dxf>
      <font>
        <b/>
        <color rgb="FFA12A33"/>
      </font>
      <fill>
        <patternFill patternType="solid">
          <fgColor rgb="FFFBE1E3"/>
          <bgColor rgb="FFFBE1E3"/>
        </patternFill>
      </fill>
    </dxf>
    <dxf>
      <font>
        <b/>
        <color rgb="FF1B6B49"/>
      </font>
      <fill>
        <patternFill patternType="solid">
          <fgColor rgb="FFDDF3E8"/>
          <bgColor rgb="FFDDF3E8"/>
        </patternFill>
      </fill>
    </dxf>
    <dxf>
      <font>
        <b/>
        <color rgb="FF2E9E6B"/>
      </font>
    </dxf>
    <dxf>
      <font>
        <b/>
        <color rgb="FFD6455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0B3954"/>
                </a:solidFill>
                <a:latin typeface="Arial"/>
              </a:defRPr>
            </a:pPr>
            <a:r>
              <a:rPr lang="en-US" sz="1100" b="1">
                <a:solidFill>
                  <a:srgbClr val="0B3954"/>
                </a:solidFill>
                <a:latin typeface="Arial"/>
              </a:rPr>
              <a:t>Instituciones de pago al cierre de cada año, por plan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v>Esencial</c:v>
          </c:tx>
          <c:spPr>
            <a:solidFill>
              <a:srgbClr val="9BD3CF"/>
            </a:solidFill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>
                    <a:solidFill>
                      <a:srgbClr val="0B3954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Modelo!$C$2:$G$2</c:f>
              <c:strCache>
                <c:ptCount val="5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</c:strCache>
            </c:strRef>
          </c:cat>
          <c:val>
            <c:numRef>
              <c:f>Modelo!$C$5:$G$5</c:f>
              <c:numCache>
                <c:formatCode>General;\-General;;@</c:formatCode>
                <c:ptCount val="5"/>
                <c:pt idx="0">
                  <c:v>1.3</c:v>
                </c:pt>
                <c:pt idx="1">
                  <c:v>2.6</c:v>
                </c:pt>
                <c:pt idx="2">
                  <c:v>5.2</c:v>
                </c:pt>
                <c:pt idx="3">
                  <c:v>9.1</c:v>
                </c:pt>
                <c:pt idx="4">
                  <c:v>14.3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52-4261-B7E3-3A8A5600D97A}"/>
            </c:ext>
          </c:extLst>
        </c:ser>
        <c:ser>
          <c:idx val="1"/>
          <c:order val="1"/>
          <c:tx>
            <c:v>Profesional</c:v>
          </c:tx>
          <c:spPr>
            <a:solidFill>
              <a:srgbClr val="1F8A8A"/>
            </a:solidFill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Modelo!$C$2:$G$2</c:f>
              <c:strCache>
                <c:ptCount val="5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</c:strCache>
            </c:strRef>
          </c:cat>
          <c:val>
            <c:numRef>
              <c:f>Modelo!$C$6:$G$6</c:f>
              <c:numCache>
                <c:formatCode>General;\-General;;@</c:formatCode>
                <c:ptCount val="5"/>
                <c:pt idx="0">
                  <c:v>1.3</c:v>
                </c:pt>
                <c:pt idx="1">
                  <c:v>2.6</c:v>
                </c:pt>
                <c:pt idx="2">
                  <c:v>5.2</c:v>
                </c:pt>
                <c:pt idx="3">
                  <c:v>9.1</c:v>
                </c:pt>
                <c:pt idx="4">
                  <c:v>16.900000000000002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52-4261-B7E3-3A8A5600D97A}"/>
            </c:ext>
          </c:extLst>
        </c:ser>
        <c:ser>
          <c:idx val="2"/>
          <c:order val="2"/>
          <c:tx>
            <c:v>Premium</c:v>
          </c:tx>
          <c:spPr>
            <a:solidFill>
              <a:srgbClr val="0B3954"/>
            </a:solidFill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Modelo!$C$2:$G$2</c:f>
              <c:strCache>
                <c:ptCount val="5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</c:strCache>
            </c:strRef>
          </c:cat>
          <c:val>
            <c:numRef>
              <c:f>Modelo!$C$7:$G$7</c:f>
              <c:numCache>
                <c:formatCode>General;\-General;;@</c:formatCode>
                <c:ptCount val="5"/>
                <c:pt idx="0">
                  <c:v>0</c:v>
                </c:pt>
                <c:pt idx="1">
                  <c:v>1.3</c:v>
                </c:pt>
                <c:pt idx="2">
                  <c:v>2.6</c:v>
                </c:pt>
                <c:pt idx="3">
                  <c:v>5.2</c:v>
                </c:pt>
                <c:pt idx="4">
                  <c:v>7.8000000000000007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52-4261-B7E3-3A8A5600D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C9D1DA"/>
            </a:solidFill>
            <a:prstDash val="solid"/>
          </a:ln>
        </c:spPr>
        <c:txPr>
          <a:bodyPr/>
          <a:lstStyle/>
          <a:p>
            <a:pPr>
              <a:defRPr sz="900">
                <a:solidFill>
                  <a:srgbClr val="5F6B7A"/>
                </a:solidFill>
                <a:latin typeface="Arial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3E8EE"/>
              </a:solidFill>
              <a:prstDash val="solid"/>
            </a:ln>
          </c:spPr>
        </c:majorGridlines>
        <c:numFmt formatCode="0" sourceLinked="0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>
              <a:defRPr sz="900">
                <a:solidFill>
                  <a:srgbClr val="5F6B7A"/>
                </a:solidFill>
                <a:latin typeface="Arial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0B3954"/>
                </a:solidFill>
                <a:latin typeface="Arial"/>
              </a:defRPr>
            </a:pPr>
            <a:r>
              <a:rPr lang="en-US" sz="1100" b="1">
                <a:solidFill>
                  <a:srgbClr val="0B3954"/>
                </a:solidFill>
                <a:latin typeface="Arial"/>
              </a:rPr>
              <a:t>Ingresos y EBITDA (C$)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Ingresos totales</c:v>
          </c:tx>
          <c:spPr>
            <a:solidFill>
              <a:srgbClr val="5BB5B0"/>
            </a:solidFill>
            <a:ln>
              <a:prstDash val="solid"/>
            </a:ln>
          </c:spPr>
          <c:invertIfNegative val="0"/>
          <c:cat>
            <c:strRef>
              <c:f>Modelo!$C$2:$G$2</c:f>
              <c:strCache>
                <c:ptCount val="5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</c:strCache>
            </c:strRef>
          </c:cat>
          <c:val>
            <c:numRef>
              <c:f>Modelo!$C$26:$G$26</c:f>
              <c:numCache>
                <c:formatCode>#,##0;\(#,##0\);"-"</c:formatCode>
                <c:ptCount val="5"/>
                <c:pt idx="0">
                  <c:v>81900</c:v>
                </c:pt>
                <c:pt idx="1">
                  <c:v>305760</c:v>
                </c:pt>
                <c:pt idx="2">
                  <c:v>657930</c:v>
                </c:pt>
                <c:pt idx="3">
                  <c:v>1233960</c:v>
                </c:pt>
                <c:pt idx="4">
                  <c:v>2088450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0D-4D46-946D-E80BF7D401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lineChart>
        <c:grouping val="standard"/>
        <c:varyColors val="1"/>
        <c:ser>
          <c:idx val="1"/>
          <c:order val="1"/>
          <c:tx>
            <c:v>EBITDA</c:v>
          </c:tx>
          <c:spPr>
            <a:ln w="31750">
              <a:solidFill>
                <a:srgbClr val="E4572E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E4572E"/>
              </a:solidFill>
              <a:ln>
                <a:solidFill>
                  <a:srgbClr val="E4572E"/>
                </a:solidFill>
                <a:prstDash val="solid"/>
              </a:ln>
            </c:spPr>
          </c:marker>
          <c:val>
            <c:numRef>
              <c:f>Modelo!$C$34:$G$34</c:f>
              <c:numCache>
                <c:formatCode>#,##0;\(#,##0\);"-"</c:formatCode>
                <c:ptCount val="5"/>
                <c:pt idx="0">
                  <c:v>-82023</c:v>
                </c:pt>
                <c:pt idx="1">
                  <c:v>42680.609999999986</c:v>
                </c:pt>
                <c:pt idx="2">
                  <c:v>244555.83000000002</c:v>
                </c:pt>
                <c:pt idx="3">
                  <c:v>621134.66</c:v>
                </c:pt>
                <c:pt idx="4">
                  <c:v>1183536.3500000001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0D-4D46-946D-E80BF7D401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C9D1DA"/>
            </a:solidFill>
            <a:prstDash val="solid"/>
          </a:ln>
        </c:spPr>
        <c:txPr>
          <a:bodyPr/>
          <a:lstStyle/>
          <a:p>
            <a:pPr>
              <a:defRPr sz="900">
                <a:solidFill>
                  <a:srgbClr val="5F6B7A"/>
                </a:solidFill>
                <a:latin typeface="Arial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3E8EE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>
              <a:defRPr sz="900">
                <a:solidFill>
                  <a:srgbClr val="5F6B7A"/>
                </a:solidFill>
                <a:latin typeface="Arial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0B3954"/>
                </a:solidFill>
                <a:latin typeface="Arial"/>
              </a:defRPr>
            </a:pPr>
            <a:r>
              <a:rPr lang="en-US" sz="1100" b="1">
                <a:solidFill>
                  <a:srgbClr val="0B3954"/>
                </a:solidFill>
                <a:latin typeface="Arial"/>
              </a:rPr>
              <a:t>Flujo de caja libre acumulado (C$)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Flujo acumulado</c:v>
          </c:tx>
          <c:spPr>
            <a:ln w="34925">
              <a:solidFill>
                <a:srgbClr val="1F8A8A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1F8A8A"/>
              </a:solidFill>
              <a:ln>
                <a:solidFill>
                  <a:srgbClr val="1F8A8A"/>
                </a:solidFill>
                <a:prstDash val="solid"/>
              </a:ln>
            </c:spPr>
          </c:marker>
          <c:cat>
            <c:strRef>
              <c:f>Modelo!$B$2:$G$2</c:f>
              <c:strCache>
                <c:ptCount val="6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</c:strCache>
            </c:strRef>
          </c:cat>
          <c:val>
            <c:numRef>
              <c:f>Modelo!$B$48:$G$48</c:f>
              <c:numCache>
                <c:formatCode>#,##0;\(#,##0\);"-"</c:formatCode>
                <c:ptCount val="6"/>
                <c:pt idx="0">
                  <c:v>-220000</c:v>
                </c:pt>
                <c:pt idx="1">
                  <c:v>-302842</c:v>
                </c:pt>
                <c:pt idx="2">
                  <c:v>-263218.99</c:v>
                </c:pt>
                <c:pt idx="3">
                  <c:v>-40627.191999999981</c:v>
                </c:pt>
                <c:pt idx="4">
                  <c:v>407367.07</c:v>
                </c:pt>
                <c:pt idx="5">
                  <c:v>1249042.5150000001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17-4BEF-8197-49CA0434699D}"/>
            </c:ext>
          </c:extLst>
        </c:ser>
        <c:ser>
          <c:idx val="1"/>
          <c:order val="1"/>
          <c:tx>
            <c:v>Acumulado descontado</c:v>
          </c:tx>
          <c:spPr>
            <a:ln w="22225">
              <a:solidFill>
                <a:srgbClr val="A0A8B3"/>
              </a:solidFill>
              <a:prstDash val="dash"/>
            </a:ln>
          </c:spPr>
          <c:marker>
            <c:symbol val="circle"/>
            <c:size val="6"/>
            <c:spPr>
              <a:solidFill>
                <a:srgbClr val="A0A8B3"/>
              </a:solidFill>
              <a:ln>
                <a:solidFill>
                  <a:srgbClr val="A0A8B3"/>
                </a:solidFill>
                <a:prstDash val="solid"/>
              </a:ln>
            </c:spPr>
          </c:marker>
          <c:cat>
            <c:strRef>
              <c:f>Modelo!$B$2:$G$2</c:f>
              <c:strCache>
                <c:ptCount val="6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</c:strCache>
            </c:strRef>
          </c:cat>
          <c:val>
            <c:numRef>
              <c:f>Modelo!$B$51:$G$51</c:f>
              <c:numCache>
                <c:formatCode>#,##0;\(#,##0\);"-"</c:formatCode>
                <c:ptCount val="6"/>
                <c:pt idx="0">
                  <c:v>-220000</c:v>
                </c:pt>
                <c:pt idx="1">
                  <c:v>-292036.52173913043</c:v>
                </c:pt>
                <c:pt idx="2">
                  <c:v>-262075.83364839319</c:v>
                </c:pt>
                <c:pt idx="3">
                  <c:v>-115718.113257171</c:v>
                </c:pt>
                <c:pt idx="4">
                  <c:v>140424.06004838474</c:v>
                </c:pt>
                <c:pt idx="5">
                  <c:v>558885.50997422007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17-4BEF-8197-49CA04346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C9D1DA"/>
            </a:solidFill>
            <a:prstDash val="solid"/>
          </a:ln>
        </c:spPr>
        <c:txPr>
          <a:bodyPr/>
          <a:lstStyle/>
          <a:p>
            <a:pPr>
              <a:defRPr sz="900">
                <a:solidFill>
                  <a:srgbClr val="5F6B7A"/>
                </a:solidFill>
                <a:latin typeface="Arial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3E8EE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>
              <a:defRPr sz="900">
                <a:solidFill>
                  <a:srgbClr val="5F6B7A"/>
                </a:solidFill>
                <a:latin typeface="Arial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0B3954"/>
                </a:solidFill>
                <a:latin typeface="Arial"/>
              </a:defRPr>
            </a:pPr>
            <a:r>
              <a:rPr lang="en-US" sz="1100" b="1">
                <a:solidFill>
                  <a:srgbClr val="0B3954"/>
                </a:solidFill>
                <a:latin typeface="Arial"/>
              </a:rPr>
              <a:t>Instituciones proyectadas frente al mínimo estable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Proyectadas</c:v>
          </c:tx>
          <c:spPr>
            <a:ln w="34925">
              <a:solidFill>
                <a:srgbClr val="1F8A8A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1F8A8A"/>
              </a:solidFill>
              <a:ln>
                <a:solidFill>
                  <a:srgbClr val="1F8A8A"/>
                </a:solidFill>
                <a:prstDash val="solid"/>
              </a:ln>
            </c:spPr>
          </c:marker>
          <c:cat>
            <c:strRef>
              <c:f>Equilibrio!$C$4:$G$4</c:f>
              <c:strCache>
                <c:ptCount val="5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</c:strCache>
            </c:strRef>
          </c:cat>
          <c:val>
            <c:numRef>
              <c:f>Equilibrio!$C$18:$G$18</c:f>
              <c:numCache>
                <c:formatCode>0.0</c:formatCode>
                <c:ptCount val="5"/>
                <c:pt idx="0">
                  <c:v>2.6</c:v>
                </c:pt>
                <c:pt idx="1">
                  <c:v>6.5</c:v>
                </c:pt>
                <c:pt idx="2">
                  <c:v>13</c:v>
                </c:pt>
                <c:pt idx="3">
                  <c:v>23.4</c:v>
                </c:pt>
                <c:pt idx="4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C4-48C3-B016-69AC39AADCFE}"/>
            </c:ext>
          </c:extLst>
        </c:ser>
        <c:ser>
          <c:idx val="1"/>
          <c:order val="1"/>
          <c:tx>
            <c:v>Mínimo estable</c:v>
          </c:tx>
          <c:spPr>
            <a:ln w="25400">
              <a:solidFill>
                <a:srgbClr val="0B3954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0B3954"/>
              </a:solidFill>
              <a:ln>
                <a:solidFill>
                  <a:srgbClr val="0B3954"/>
                </a:solidFill>
                <a:prstDash val="solid"/>
              </a:ln>
            </c:spPr>
          </c:marker>
          <c:cat>
            <c:strRef>
              <c:f>Equilibrio!$C$4:$G$4</c:f>
              <c:strCache>
                <c:ptCount val="5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</c:strCache>
            </c:strRef>
          </c:cat>
          <c:val>
            <c:numRef>
              <c:f>Equilibrio!$C$17:$G$17</c:f>
              <c:numCache>
                <c:formatCode>0</c:formatCode>
                <c:ptCount val="5"/>
                <c:pt idx="0">
                  <c:v>6</c:v>
                </c:pt>
                <c:pt idx="1">
                  <c:v>7</c:v>
                </c:pt>
                <c:pt idx="2">
                  <c:v>9</c:v>
                </c:pt>
                <c:pt idx="3">
                  <c:v>11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C4-48C3-B016-69AC39AADCFE}"/>
            </c:ext>
          </c:extLst>
        </c:ser>
        <c:ser>
          <c:idx val="2"/>
          <c:order val="2"/>
          <c:tx>
            <c:v>Equilibrio operativo</c:v>
          </c:tx>
          <c:spPr>
            <a:ln w="19050">
              <a:solidFill>
                <a:srgbClr val="A0A8B3"/>
              </a:solidFill>
              <a:prstDash val="dash"/>
            </a:ln>
          </c:spPr>
          <c:marker>
            <c:symbol val="circle"/>
            <c:size val="6"/>
            <c:spPr>
              <a:solidFill>
                <a:srgbClr val="A0A8B3"/>
              </a:solidFill>
              <a:ln>
                <a:solidFill>
                  <a:srgbClr val="A0A8B3"/>
                </a:solidFill>
                <a:prstDash val="solid"/>
              </a:ln>
            </c:spPr>
          </c:marker>
          <c:cat>
            <c:strRef>
              <c:f>Equilibrio!$C$4:$G$4</c:f>
              <c:strCache>
                <c:ptCount val="5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</c:strCache>
            </c:strRef>
          </c:cat>
          <c:val>
            <c:numRef>
              <c:f>Equilibrio!$C$15:$G$15</c:f>
              <c:numCache>
                <c:formatCode>0</c:formatCode>
                <c:ptCount val="5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2C4-48C3-B016-69AC39AADC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C9D1DA"/>
            </a:solidFill>
            <a:prstDash val="solid"/>
          </a:ln>
        </c:spPr>
        <c:txPr>
          <a:bodyPr/>
          <a:lstStyle/>
          <a:p>
            <a:pPr>
              <a:defRPr sz="900">
                <a:solidFill>
                  <a:srgbClr val="5F6B7A"/>
                </a:solidFill>
                <a:latin typeface="Arial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3E8EE"/>
              </a:solidFill>
              <a:prstDash val="solid"/>
            </a:ln>
          </c:spPr>
        </c:majorGridlines>
        <c:numFmt formatCode="0" sourceLinked="0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>
              <a:defRPr sz="900">
                <a:solidFill>
                  <a:srgbClr val="5F6B7A"/>
                </a:solidFill>
                <a:latin typeface="Arial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0B3954"/>
                </a:solidFill>
                <a:latin typeface="Arial"/>
              </a:defRPr>
            </a:pPr>
            <a:r>
              <a:rPr lang="en-US" sz="1100" b="1">
                <a:solidFill>
                  <a:srgbClr val="0B3954"/>
                </a:solidFill>
                <a:latin typeface="Arial"/>
              </a:rPr>
              <a:t>Suscripciones del año 5 por plan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Suscripción año 5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9BD3C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721-47E5-BEB7-85ECA5A1E3E1}"/>
              </c:ext>
            </c:extLst>
          </c:dPt>
          <c:dPt>
            <c:idx val="1"/>
            <c:bubble3D val="0"/>
            <c:spPr>
              <a:solidFill>
                <a:srgbClr val="1F8A8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721-47E5-BEB7-85ECA5A1E3E1}"/>
              </c:ext>
            </c:extLst>
          </c:dPt>
          <c:dPt>
            <c:idx val="2"/>
            <c:bubble3D val="0"/>
            <c:spPr>
              <a:solidFill>
                <a:srgbClr val="0B395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721-47E5-BEB7-85ECA5A1E3E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Modelo!$A$21:$A$23</c:f>
              <c:strCache>
                <c:ptCount val="3"/>
                <c:pt idx="0">
                  <c:v>   Suscripción Esencial</c:v>
                </c:pt>
                <c:pt idx="1">
                  <c:v>   Suscripción Profesional</c:v>
                </c:pt>
                <c:pt idx="2">
                  <c:v>   Suscripción Premium</c:v>
                </c:pt>
              </c:strCache>
            </c:strRef>
          </c:cat>
          <c:val>
            <c:numRef>
              <c:f>Modelo!$G$21:$G$23</c:f>
              <c:numCache>
                <c:formatCode>#,##0;\(#,##0\);"-"</c:formatCode>
                <c:ptCount val="3"/>
                <c:pt idx="0">
                  <c:v>368550</c:v>
                </c:pt>
                <c:pt idx="1">
                  <c:v>819000</c:v>
                </c:pt>
                <c:pt idx="2">
                  <c:v>737100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21-47E5-BEB7-85ECA5A1E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8"/>
      </c:doughnutChart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0B3954"/>
                </a:solidFill>
                <a:latin typeface="Arial"/>
              </a:defRPr>
            </a:pPr>
            <a:r>
              <a:rPr lang="en-US" sz="1100" b="1">
                <a:solidFill>
                  <a:srgbClr val="0B3954"/>
                </a:solidFill>
                <a:latin typeface="Arial"/>
              </a:rPr>
              <a:t>Costos totales por año (C$): fijos y variables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v>Costos fijos</c:v>
          </c:tx>
          <c:spPr>
            <a:solidFill>
              <a:srgbClr val="0B3954"/>
            </a:solidFill>
            <a:ln>
              <a:prstDash val="solid"/>
            </a:ln>
          </c:spPr>
          <c:invertIfNegative val="0"/>
          <c:cat>
            <c:strRef>
              <c:f>Modelo!$C$2:$G$2</c:f>
              <c:strCache>
                <c:ptCount val="5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</c:strCache>
            </c:strRef>
          </c:cat>
          <c:val>
            <c:numRef>
              <c:f>Modelo!$C$31:$G$31</c:f>
              <c:numCache>
                <c:formatCode>#,##0;\(#,##0\);"-"</c:formatCode>
                <c:ptCount val="5"/>
                <c:pt idx="0">
                  <c:v>150000</c:v>
                </c:pt>
                <c:pt idx="1">
                  <c:v>210000</c:v>
                </c:pt>
                <c:pt idx="2">
                  <c:v>300000</c:v>
                </c:pt>
                <c:pt idx="3">
                  <c:v>400000</c:v>
                </c:pt>
                <c:pt idx="4">
                  <c:v>550000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32-475A-8E20-ABE19FC0FC84}"/>
            </c:ext>
          </c:extLst>
        </c:ser>
        <c:ser>
          <c:idx val="1"/>
          <c:order val="1"/>
          <c:tx>
            <c:v>Costos variables</c:v>
          </c:tx>
          <c:spPr>
            <a:solidFill>
              <a:srgbClr val="5BB5B0"/>
            </a:solidFill>
            <a:ln>
              <a:prstDash val="solid"/>
            </a:ln>
          </c:spPr>
          <c:invertIfNegative val="0"/>
          <c:cat>
            <c:strRef>
              <c:f>Modelo!$C$2:$G$2</c:f>
              <c:strCache>
                <c:ptCount val="5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</c:strCache>
            </c:strRef>
          </c:cat>
          <c:val>
            <c:numRef>
              <c:f>Modelo!$C$30:$G$30</c:f>
              <c:numCache>
                <c:formatCode>#,##0;\(#,##0\);"-"</c:formatCode>
                <c:ptCount val="5"/>
                <c:pt idx="0">
                  <c:v>13923</c:v>
                </c:pt>
                <c:pt idx="1">
                  <c:v>53079.389999999992</c:v>
                </c:pt>
                <c:pt idx="2">
                  <c:v>113374.17</c:v>
                </c:pt>
                <c:pt idx="3">
                  <c:v>212825.34</c:v>
                </c:pt>
                <c:pt idx="4">
                  <c:v>354913.64999999997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32-475A-8E20-ABE19FC0FC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C9D1DA"/>
            </a:solidFill>
            <a:prstDash val="solid"/>
          </a:ln>
        </c:spPr>
        <c:txPr>
          <a:bodyPr/>
          <a:lstStyle/>
          <a:p>
            <a:pPr>
              <a:defRPr sz="900">
                <a:solidFill>
                  <a:srgbClr val="5F6B7A"/>
                </a:solidFill>
                <a:latin typeface="Arial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3E8EE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>
              <a:defRPr sz="900">
                <a:solidFill>
                  <a:srgbClr val="5F6B7A"/>
                </a:solidFill>
                <a:latin typeface="Arial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0B3954"/>
                </a:solidFill>
                <a:latin typeface="Arial"/>
              </a:defRPr>
            </a:pPr>
            <a:r>
              <a:rPr sz="1100" b="1">
                <a:solidFill>
                  <a:srgbClr val="0B3954"/>
                </a:solidFill>
                <a:latin typeface="Arial"/>
              </a:rPr>
              <a:t>VAN según la TMAR (C$)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VAN</c:v>
          </c:tx>
          <c:spPr>
            <a:solidFill>
              <a:srgbClr val="1F8A8A"/>
            </a:solidFill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Indicadores!$B$29:$H$29</c:f>
              <c:numCache>
                <c:formatCode>0%</c:formatCode>
                <c:ptCount val="7"/>
                <c:pt idx="0">
                  <c:v>0.1</c:v>
                </c:pt>
                <c:pt idx="1">
                  <c:v>0.12</c:v>
                </c:pt>
                <c:pt idx="2">
                  <c:v>0.15</c:v>
                </c:pt>
                <c:pt idx="3">
                  <c:v>0.18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</c:numCache>
            </c:numRef>
          </c:cat>
          <c:val>
            <c:numRef>
              <c:f>Indicadores!$B$30:$H$30</c:f>
              <c:numCache>
                <c:formatCode>#,##0;\(#,##0\);"-"</c:formatCode>
                <c:ptCount val="7"/>
                <c:pt idx="0">
                  <c:v>733272.23233013123</c:v>
                </c:pt>
                <c:pt idx="1">
                  <c:v>658355.29850977741</c:v>
                </c:pt>
                <c:pt idx="2">
                  <c:v>558885.50997422007</c:v>
                </c:pt>
                <c:pt idx="3">
                  <c:v>472702.33492039295</c:v>
                </c:pt>
                <c:pt idx="4">
                  <c:v>421592.77689364715</c:v>
                </c:pt>
                <c:pt idx="5">
                  <c:v>312350.78650880005</c:v>
                </c:pt>
                <c:pt idx="6">
                  <c:v>224580.11354644434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65-4105-BB57-5957496CD0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low"/>
        <c:spPr>
          <a:ln>
            <a:solidFill>
              <a:srgbClr val="C9D1DA"/>
            </a:solidFill>
            <a:prstDash val="solid"/>
          </a:ln>
        </c:spPr>
        <c:txPr>
          <a:bodyPr/>
          <a:lstStyle/>
          <a:p>
            <a:pPr>
              <a:defRPr sz="900">
                <a:solidFill>
                  <a:srgbClr val="5F6B7A"/>
                </a:solidFill>
                <a:latin typeface="Arial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3E8EE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>
              <a:defRPr sz="900">
                <a:solidFill>
                  <a:srgbClr val="5F6B7A"/>
                </a:solidFill>
                <a:latin typeface="Arial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pPr>
              <a:defRPr sz="1100" b="1">
                <a:solidFill>
                  <a:srgbClr val="0B3954"/>
                </a:solidFill>
                <a:latin typeface="Arial"/>
              </a:defRPr>
            </a:pPr>
            <a:r>
              <a:rPr sz="1100" b="1">
                <a:solidFill>
                  <a:srgbClr val="0B3954"/>
                </a:solidFill>
                <a:latin typeface="Arial"/>
              </a:rPr>
              <a:t>Instituciones proyectadas frente al mínimo estable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Proyectadas</c:v>
          </c:tx>
          <c:spPr>
            <a:ln w="28575">
              <a:solidFill>
                <a:srgbClr val="1F8A8A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1F8A8A"/>
              </a:solidFill>
              <a:ln>
                <a:solidFill>
                  <a:srgbClr val="1F8A8A"/>
                </a:solidFill>
                <a:prstDash val="solid"/>
              </a:ln>
            </c:spPr>
          </c:marker>
          <c:cat>
            <c:strRef>
              <c:f>Equilibrio!$C$4:$G$4</c:f>
              <c:strCache>
                <c:ptCount val="5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</c:strCache>
            </c:strRef>
          </c:cat>
          <c:val>
            <c:numRef>
              <c:f>Equilibrio!$C$18:$G$18</c:f>
              <c:numCache>
                <c:formatCode>0.0</c:formatCode>
                <c:ptCount val="5"/>
                <c:pt idx="0">
                  <c:v>2.6</c:v>
                </c:pt>
                <c:pt idx="1">
                  <c:v>6.5</c:v>
                </c:pt>
                <c:pt idx="2">
                  <c:v>13</c:v>
                </c:pt>
                <c:pt idx="3">
                  <c:v>23.4</c:v>
                </c:pt>
                <c:pt idx="4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1E-4E65-8715-3B8C0757EA91}"/>
            </c:ext>
          </c:extLst>
        </c:ser>
        <c:ser>
          <c:idx val="1"/>
          <c:order val="1"/>
          <c:tx>
            <c:v>Mínimo estable</c:v>
          </c:tx>
          <c:spPr>
            <a:ln w="28575">
              <a:solidFill>
                <a:srgbClr val="0B3954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0B3954"/>
              </a:solidFill>
              <a:ln>
                <a:solidFill>
                  <a:srgbClr val="0B3954"/>
                </a:solidFill>
                <a:prstDash val="solid"/>
              </a:ln>
            </c:spPr>
          </c:marker>
          <c:cat>
            <c:strRef>
              <c:f>Equilibrio!$C$4:$G$4</c:f>
              <c:strCache>
                <c:ptCount val="5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</c:strCache>
            </c:strRef>
          </c:cat>
          <c:val>
            <c:numRef>
              <c:f>Equilibrio!$C$17:$G$17</c:f>
              <c:numCache>
                <c:formatCode>0</c:formatCode>
                <c:ptCount val="5"/>
                <c:pt idx="0">
                  <c:v>6</c:v>
                </c:pt>
                <c:pt idx="1">
                  <c:v>7</c:v>
                </c:pt>
                <c:pt idx="2">
                  <c:v>9</c:v>
                </c:pt>
                <c:pt idx="3">
                  <c:v>11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1E-4E65-8715-3B8C0757EA91}"/>
            </c:ext>
          </c:extLst>
        </c:ser>
        <c:ser>
          <c:idx val="2"/>
          <c:order val="2"/>
          <c:tx>
            <c:v>Equilibrio operativo</c:v>
          </c:tx>
          <c:spPr>
            <a:ln w="19050">
              <a:solidFill>
                <a:srgbClr val="A0A8B3"/>
              </a:solidFill>
              <a:prstDash val="dash"/>
            </a:ln>
          </c:spPr>
          <c:marker>
            <c:symbol val="circle"/>
            <c:size val="6"/>
            <c:spPr>
              <a:solidFill>
                <a:srgbClr val="A0A8B3"/>
              </a:solidFill>
              <a:ln>
                <a:solidFill>
                  <a:srgbClr val="A0A8B3"/>
                </a:solidFill>
                <a:prstDash val="solid"/>
              </a:ln>
            </c:spPr>
          </c:marker>
          <c:cat>
            <c:strRef>
              <c:f>Equilibrio!$C$4:$G$4</c:f>
              <c:strCache>
                <c:ptCount val="5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</c:strCache>
            </c:strRef>
          </c:cat>
          <c:val>
            <c:numRef>
              <c:f>Equilibrio!$C$15:$G$15</c:f>
              <c:numCache>
                <c:formatCode>0</c:formatCode>
                <c:ptCount val="5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1E-4E65-8715-3B8C0757E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C9D1DA"/>
            </a:solidFill>
            <a:prstDash val="solid"/>
          </a:ln>
        </c:spPr>
        <c:txPr>
          <a:bodyPr/>
          <a:lstStyle/>
          <a:p>
            <a:pPr>
              <a:defRPr sz="900">
                <a:solidFill>
                  <a:srgbClr val="5F6B7A"/>
                </a:solidFill>
                <a:latin typeface="Arial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3E8EE"/>
              </a:solidFill>
              <a:prstDash val="solid"/>
            </a:ln>
          </c:spPr>
        </c:majorGridlines>
        <c:numFmt formatCode="0" sourceLinked="0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>
              <a:defRPr sz="900">
                <a:solidFill>
                  <a:srgbClr val="5F6B7A"/>
                </a:solidFill>
                <a:latin typeface="Arial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16</xdr:row>
      <xdr:rowOff>0</xdr:rowOff>
    </xdr:from>
    <xdr:ext cx="5328000" cy="2736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16</xdr:row>
      <xdr:rowOff>0</xdr:rowOff>
    </xdr:from>
    <xdr:ext cx="5328000" cy="2736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32</xdr:row>
      <xdr:rowOff>0</xdr:rowOff>
    </xdr:from>
    <xdr:ext cx="5328000" cy="2736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9</xdr:col>
      <xdr:colOff>0</xdr:colOff>
      <xdr:row>32</xdr:row>
      <xdr:rowOff>0</xdr:rowOff>
    </xdr:from>
    <xdr:ext cx="5328000" cy="2736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48</xdr:row>
      <xdr:rowOff>0</xdr:rowOff>
    </xdr:from>
    <xdr:ext cx="5328000" cy="2736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9</xdr:col>
      <xdr:colOff>0</xdr:colOff>
      <xdr:row>48</xdr:row>
      <xdr:rowOff>0</xdr:rowOff>
    </xdr:from>
    <xdr:ext cx="5328000" cy="2736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32</xdr:row>
      <xdr:rowOff>0</xdr:rowOff>
    </xdr:from>
    <xdr:ext cx="6120000" cy="2592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50</xdr:row>
      <xdr:rowOff>0</xdr:rowOff>
    </xdr:from>
    <xdr:ext cx="5580000" cy="2736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B3954"/>
    <pageSetUpPr fitToPage="1"/>
  </sheetPr>
  <dimension ref="A1:S81"/>
  <sheetViews>
    <sheetView showGridLines="0" tabSelected="1" workbookViewId="0">
      <selection activeCell="N8" sqref="N8:P8"/>
    </sheetView>
  </sheetViews>
  <sheetFormatPr baseColWidth="10" defaultColWidth="8.88671875" defaultRowHeight="14.4" x14ac:dyDescent="0.3"/>
  <cols>
    <col min="1" max="1" width="2" customWidth="1"/>
    <col min="2" max="4" width="12.44140625" customWidth="1"/>
    <col min="5" max="5" width="2" customWidth="1"/>
    <col min="6" max="8" width="12.44140625" customWidth="1"/>
    <col min="9" max="9" width="2" customWidth="1"/>
    <col min="10" max="12" width="12.44140625" customWidth="1"/>
    <col min="13" max="13" width="2" customWidth="1"/>
    <col min="14" max="16" width="12.44140625" customWidth="1"/>
    <col min="17" max="17" width="2" customWidth="1"/>
    <col min="18" max="18" width="3" customWidth="1"/>
    <col min="19" max="19" width="10" hidden="1" customWidth="1"/>
  </cols>
  <sheetData>
    <row r="1" spans="1:19" ht="6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9" ht="19.95" customHeight="1" x14ac:dyDescent="0.3">
      <c r="A2" s="1"/>
      <c r="B2" s="102" t="s">
        <v>0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2"/>
      <c r="N2" s="100" t="s">
        <v>1</v>
      </c>
      <c r="O2" s="88"/>
      <c r="P2" s="88"/>
      <c r="Q2" s="1"/>
      <c r="S2" s="3">
        <f>Supuestos!B6</f>
        <v>0.15</v>
      </c>
    </row>
    <row r="3" spans="1:19" ht="25.95" customHeight="1" x14ac:dyDescent="0.3">
      <c r="A3" s="1"/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2"/>
      <c r="N3" s="104" t="str">
        <f>Supuestos!B14</f>
        <v>Optimista</v>
      </c>
      <c r="O3" s="105"/>
      <c r="P3" s="105"/>
      <c r="Q3" s="1"/>
      <c r="S3" s="4">
        <f>Modelo!B56</f>
        <v>558885.50997422007</v>
      </c>
    </row>
    <row r="4" spans="1:19" ht="18" customHeight="1" x14ac:dyDescent="0.3">
      <c r="A4" s="1"/>
      <c r="B4" s="99" t="str">
        <f>"Venta de la app a clínicas y hospitales · presupuesto del escenario optimista · cifras en córdobas (C$) · 5 años · TMAR "&amp;TEXT(Supuestos!B6,"0%")</f>
        <v>Venta de la app a clínicas y hospitales · presupuesto del escenario optimista · cifras en córdobas (C$) · 5 años · TMAR 15%</v>
      </c>
      <c r="C4" s="88"/>
      <c r="D4" s="88"/>
      <c r="E4" s="88"/>
      <c r="F4" s="88"/>
      <c r="G4" s="88"/>
      <c r="H4" s="88"/>
      <c r="I4" s="88"/>
      <c r="J4" s="88"/>
      <c r="K4" s="88"/>
      <c r="L4" s="88"/>
      <c r="M4" s="2"/>
      <c r="N4" s="101" t="str">
        <f>"130% instituciones · precios +5% · costos var. -5%"</f>
        <v>130% instituciones · precios +5% · costos var. -5%</v>
      </c>
      <c r="O4" s="88"/>
      <c r="P4" s="88"/>
      <c r="Q4" s="1"/>
      <c r="S4" s="3">
        <f>Modelo!B57</f>
        <v>0.5107954046640768</v>
      </c>
    </row>
    <row r="5" spans="1:19" ht="7.95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9" ht="19.95" customHeight="1" x14ac:dyDescent="0.3">
      <c r="A6" s="1"/>
      <c r="B6" s="89" t="s">
        <v>2</v>
      </c>
      <c r="C6" s="90"/>
      <c r="D6" s="90"/>
      <c r="E6" s="1"/>
      <c r="F6" s="89" t="s">
        <v>3</v>
      </c>
      <c r="G6" s="90"/>
      <c r="H6" s="90"/>
      <c r="I6" s="1"/>
      <c r="J6" s="89" t="s">
        <v>4</v>
      </c>
      <c r="K6" s="90"/>
      <c r="L6" s="90"/>
      <c r="M6" s="1"/>
      <c r="N6" s="89" t="s">
        <v>5</v>
      </c>
      <c r="O6" s="90"/>
      <c r="P6" s="90"/>
      <c r="Q6" s="1"/>
    </row>
    <row r="7" spans="1:19" ht="36" customHeight="1" x14ac:dyDescent="0.3">
      <c r="A7" s="1"/>
      <c r="B7" s="94">
        <f>Modelo!B56</f>
        <v>558885.50997422007</v>
      </c>
      <c r="C7" s="93"/>
      <c r="D7" s="93"/>
      <c r="E7" s="1"/>
      <c r="F7" s="103">
        <f>Modelo!B57</f>
        <v>0.5107954046640768</v>
      </c>
      <c r="G7" s="93"/>
      <c r="H7" s="93"/>
      <c r="I7" s="1"/>
      <c r="J7" s="96">
        <f>Modelo!B60</f>
        <v>1.2910893244968962</v>
      </c>
      <c r="K7" s="93"/>
      <c r="L7" s="93"/>
      <c r="M7" s="1"/>
      <c r="N7" s="96">
        <f>Modelo!B58</f>
        <v>3.0906868579490867</v>
      </c>
      <c r="O7" s="93"/>
      <c r="P7" s="93"/>
      <c r="Q7" s="1"/>
    </row>
    <row r="8" spans="1:19" ht="19.95" customHeight="1" x14ac:dyDescent="0.3">
      <c r="A8" s="1"/>
      <c r="B8" s="92" t="str">
        <f>"Al "&amp;TEXT(Supuestos!B6,"0%")&amp;" · criterio: mayor que 0"</f>
        <v>Al 15% · criterio: mayor que 0</v>
      </c>
      <c r="C8" s="93"/>
      <c r="D8" s="93"/>
      <c r="E8" s="1"/>
      <c r="F8" s="92" t="str">
        <f>"vs TMAR "&amp;TEXT(Supuestos!B6,"0%")&amp;" · "&amp;IF(ISNUMBER(Modelo!B57),IF(Modelo!B57&gt;Supuestos!B6,"la supera","por debajo"),"no definida")</f>
        <v>vs TMAR 15% · la supera</v>
      </c>
      <c r="G8" s="93"/>
      <c r="H8" s="93"/>
      <c r="I8" s="1"/>
      <c r="J8" s="92" t="str">
        <f>"Criterio: mayor que 1 · RBC neto "&amp;IF(ISNUMBER(Modelo!B61),TEXT(Modelo!B61,"0.00"),"n/d")</f>
        <v>Criterio: mayor que 1 · RBC neto 2.91</v>
      </c>
      <c r="K8" s="93"/>
      <c r="L8" s="93"/>
      <c r="M8" s="1"/>
      <c r="N8" s="92" t="str">
        <f>"Descontado: "&amp;IF(ISNUMBER(Modelo!B59),TEXT(Modelo!B59,"0.00")&amp;" años","no se recupera")</f>
        <v>Descontado: 3.45 años</v>
      </c>
      <c r="O8" s="93"/>
      <c r="P8" s="93"/>
      <c r="Q8" s="1"/>
    </row>
    <row r="9" spans="1:19" ht="7.95" customHeight="1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9" ht="19.95" customHeight="1" x14ac:dyDescent="0.3">
      <c r="A10" s="1"/>
      <c r="B10" s="89" t="s">
        <v>6</v>
      </c>
      <c r="C10" s="90"/>
      <c r="D10" s="90"/>
      <c r="E10" s="1"/>
      <c r="F10" s="89" t="s">
        <v>7</v>
      </c>
      <c r="G10" s="90"/>
      <c r="H10" s="90"/>
      <c r="I10" s="1"/>
      <c r="J10" s="89" t="s">
        <v>8</v>
      </c>
      <c r="K10" s="90"/>
      <c r="L10" s="90"/>
      <c r="M10" s="1"/>
      <c r="N10" s="89" t="s">
        <v>9</v>
      </c>
      <c r="O10" s="90"/>
      <c r="P10" s="90"/>
      <c r="Q10" s="1"/>
    </row>
    <row r="11" spans="1:19" ht="36" customHeight="1" x14ac:dyDescent="0.3">
      <c r="A11" s="1"/>
      <c r="B11" s="94">
        <f>Modelo!G26</f>
        <v>2088450</v>
      </c>
      <c r="C11" s="93"/>
      <c r="D11" s="93"/>
      <c r="E11" s="1"/>
      <c r="F11" s="94">
        <f>Modelo!G34</f>
        <v>1183536.3500000001</v>
      </c>
      <c r="G11" s="93"/>
      <c r="H11" s="93"/>
      <c r="I11" s="1"/>
      <c r="J11" s="94">
        <f>Modelo!B64</f>
        <v>302842</v>
      </c>
      <c r="K11" s="93"/>
      <c r="L11" s="93"/>
      <c r="M11" s="1"/>
      <c r="N11" s="95">
        <f>Equilibrio!E32</f>
        <v>9</v>
      </c>
      <c r="O11" s="93"/>
      <c r="P11" s="93"/>
      <c r="Q11" s="1"/>
    </row>
    <row r="12" spans="1:19" ht="19.95" customHeight="1" x14ac:dyDescent="0.3">
      <c r="A12" s="1"/>
      <c r="B12" s="92" t="str">
        <f>"Suscripciones: "&amp;TEXT(Modelo!G24/Modelo!G26,"0%")&amp;" del total"</f>
        <v>Suscripciones: 92% del total</v>
      </c>
      <c r="C12" s="93"/>
      <c r="D12" s="93"/>
      <c r="E12" s="1"/>
      <c r="F12" s="92" t="str">
        <f>"Margen EBITDA: "&amp;TEXT(Modelo!G35,"0%")</f>
        <v>Margen EBITDA: 57%</v>
      </c>
      <c r="G12" s="93"/>
      <c r="H12" s="93"/>
      <c r="I12" s="1"/>
      <c r="J12" s="92" t="str">
        <f>"Recomendado reunir: C$ "&amp;TEXT(Modelo!B65,"#,##0")</f>
        <v>Recomendado reunir: C$ 350,000</v>
      </c>
      <c r="K12" s="93"/>
      <c r="L12" s="93"/>
      <c r="M12" s="1"/>
      <c r="N12" s="92" t="str">
        <f>"Estructura de costos del año "&amp;Equilibrio!B25&amp;" · equilibrio contable: "&amp;Equilibrio!D32</f>
        <v>Estructura de costos del año 3 · equilibrio contable: 7</v>
      </c>
      <c r="O12" s="93"/>
      <c r="P12" s="93"/>
      <c r="Q12" s="1"/>
    </row>
    <row r="13" spans="1:19" ht="7.95" customHeight="1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9" ht="30" customHeight="1" x14ac:dyDescent="0.3">
      <c r="A14" s="1"/>
      <c r="B14" s="98" t="str">
        <f>IF(AND(ISNUMBER(Modelo!B57),Modelo!B56&gt;0,Modelo!B57&gt;Supuestos!B6),"VIABLE · Escenario "&amp;Supuestos!B14&amp;": VAN positivo, TIR sobre la TMAR y la inversión se recupera en "&amp;IF(ISNUMBER(Modelo!B58),TEXT(Modelo!B58,"0.0")&amp;" años","más de 5 años")&amp;".","NO VIABLE · Escenario "&amp;Supuestos!B14&amp;": el VAN o la TIR no alcanzan el rendimiento mínimo exigido.")</f>
        <v>VIABLE · Escenario Optimista: VAN positivo, TIR sobre la TMAR y la inversión se recupera en 3.1 años.</v>
      </c>
      <c r="C14" s="93"/>
      <c r="D14" s="93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1"/>
    </row>
    <row r="15" spans="1:19" ht="7.9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9" ht="22.05" customHeight="1" x14ac:dyDescent="0.3">
      <c r="A16" s="1"/>
      <c r="B16" s="97" t="s">
        <v>10</v>
      </c>
      <c r="C16" s="88"/>
      <c r="D16" s="88"/>
      <c r="E16" s="88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1"/>
    </row>
    <row r="17" spans="1:17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3">
      <c r="A65" s="1"/>
      <c r="B65" s="91" t="s">
        <v>11</v>
      </c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1"/>
    </row>
    <row r="66" spans="1:17" ht="18" customHeight="1" x14ac:dyDescent="0.3">
      <c r="A66" s="1"/>
      <c r="B66" s="87" t="s">
        <v>12</v>
      </c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1"/>
    </row>
    <row r="67" spans="1:17" ht="18" customHeight="1" x14ac:dyDescent="0.3">
      <c r="A67" s="1"/>
      <c r="B67" s="87" t="s">
        <v>13</v>
      </c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1"/>
    </row>
    <row r="68" spans="1:17" ht="18" customHeight="1" x14ac:dyDescent="0.3">
      <c r="A68" s="1"/>
      <c r="B68" s="87" t="s">
        <v>14</v>
      </c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1"/>
    </row>
    <row r="69" spans="1:17" ht="18" customHeight="1" x14ac:dyDescent="0.3">
      <c r="A69" s="1"/>
      <c r="B69" s="87" t="s">
        <v>15</v>
      </c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1"/>
    </row>
    <row r="70" spans="1:17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</sheetData>
  <mergeCells count="36">
    <mergeCell ref="B4:L4"/>
    <mergeCell ref="J6:L6"/>
    <mergeCell ref="B11:D11"/>
    <mergeCell ref="N2:P2"/>
    <mergeCell ref="B8:D8"/>
    <mergeCell ref="J7:L7"/>
    <mergeCell ref="N4:P4"/>
    <mergeCell ref="B2:L3"/>
    <mergeCell ref="F7:H7"/>
    <mergeCell ref="N3:P3"/>
    <mergeCell ref="B14:P14"/>
    <mergeCell ref="B67:P67"/>
    <mergeCell ref="F8:H8"/>
    <mergeCell ref="N8:P8"/>
    <mergeCell ref="J11:L11"/>
    <mergeCell ref="B10:D10"/>
    <mergeCell ref="B66:P66"/>
    <mergeCell ref="F12:H12"/>
    <mergeCell ref="B12:D12"/>
    <mergeCell ref="N12:P12"/>
    <mergeCell ref="B69:P69"/>
    <mergeCell ref="N10:P10"/>
    <mergeCell ref="B65:P65"/>
    <mergeCell ref="J12:L12"/>
    <mergeCell ref="B6:D6"/>
    <mergeCell ref="N6:P6"/>
    <mergeCell ref="B68:P68"/>
    <mergeCell ref="J8:L8"/>
    <mergeCell ref="B7:D7"/>
    <mergeCell ref="F11:H11"/>
    <mergeCell ref="N11:P11"/>
    <mergeCell ref="N7:P7"/>
    <mergeCell ref="F10:H10"/>
    <mergeCell ref="F6:H6"/>
    <mergeCell ref="B16:P16"/>
    <mergeCell ref="J10:L10"/>
  </mergeCells>
  <conditionalFormatting sqref="B7:D7">
    <cfRule type="cellIs" dxfId="28" priority="1" operator="lessThan">
      <formula>0</formula>
    </cfRule>
    <cfRule type="cellIs" dxfId="27" priority="6" operator="greaterThan">
      <formula>0</formula>
    </cfRule>
  </conditionalFormatting>
  <conditionalFormatting sqref="B14:P14">
    <cfRule type="expression" dxfId="26" priority="9">
      <formula>LEFT($B$14,6)="VIABLE"</formula>
    </cfRule>
    <cfRule type="expression" dxfId="25" priority="10">
      <formula>LEFT($B$14,2)="NO"</formula>
    </cfRule>
  </conditionalFormatting>
  <conditionalFormatting sqref="F7:H7">
    <cfRule type="expression" dxfId="24" priority="2">
      <formula>AND(ISNUMBER($F$7),$F$7&gt;$S$2)</formula>
    </cfRule>
    <cfRule type="expression" dxfId="23" priority="3">
      <formula>NOT(AND(ISNUMBER($F$7),$F$7&gt;$S$2))</formula>
    </cfRule>
  </conditionalFormatting>
  <conditionalFormatting sqref="F11:H11">
    <cfRule type="cellIs" dxfId="22" priority="8" operator="lessThan">
      <formula>0</formula>
    </cfRule>
  </conditionalFormatting>
  <conditionalFormatting sqref="J7:L7">
    <cfRule type="expression" dxfId="21" priority="4">
      <formula>AND(ISNUMBER($J$7),$J$7&gt;1)</formula>
    </cfRule>
    <cfRule type="expression" dxfId="20" priority="5">
      <formula>NOT(AND(ISNUMBER($J$7),$J$7&gt;1))</formula>
    </cfRule>
  </conditionalFormatting>
  <conditionalFormatting sqref="N7:P7">
    <cfRule type="expression" dxfId="19" priority="7">
      <formula>NOT(ISNUMBER($N$7))</formula>
    </cfRule>
  </conditionalFormatting>
  <pageMargins left="0.75" right="0.75" top="1" bottom="1" header="0.5" footer="0.5"/>
  <pageSetup fitToHeight="0" orientation="landscape"/>
  <rowBreaks count="1" manualBreakCount="1">
    <brk id="31" max="16383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2A541"/>
    <pageSetUpPr fitToPage="1"/>
  </sheetPr>
  <dimension ref="A1:H54"/>
  <sheetViews>
    <sheetView showGridLines="0"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48" customWidth="1"/>
    <col min="2" max="7" width="17" customWidth="1"/>
    <col min="8" max="8" width="52" customWidth="1"/>
  </cols>
  <sheetData>
    <row r="1" spans="1:8" ht="30" customHeight="1" x14ac:dyDescent="0.3">
      <c r="A1" s="5" t="s">
        <v>16</v>
      </c>
      <c r="B1" s="2"/>
      <c r="C1" s="2"/>
      <c r="D1" s="2"/>
      <c r="E1" s="2"/>
      <c r="F1" s="2"/>
      <c r="G1" s="2"/>
      <c r="H1" s="2"/>
    </row>
    <row r="2" spans="1:8" x14ac:dyDescent="0.3">
      <c r="A2" s="6" t="s">
        <v>17</v>
      </c>
    </row>
    <row r="4" spans="1:8" x14ac:dyDescent="0.3">
      <c r="A4" s="7" t="s">
        <v>18</v>
      </c>
      <c r="B4" s="7"/>
      <c r="C4" s="7"/>
      <c r="D4" s="7"/>
      <c r="E4" s="7"/>
      <c r="F4" s="7"/>
      <c r="G4" s="7"/>
      <c r="H4" s="7"/>
    </row>
    <row r="5" spans="1:8" x14ac:dyDescent="0.3">
      <c r="A5" s="8" t="s">
        <v>19</v>
      </c>
      <c r="B5" s="9">
        <v>36.624299999999998</v>
      </c>
      <c r="H5" s="6" t="s">
        <v>20</v>
      </c>
    </row>
    <row r="6" spans="1:8" x14ac:dyDescent="0.3">
      <c r="A6" s="8" t="s">
        <v>21</v>
      </c>
      <c r="B6" s="10">
        <v>0.15</v>
      </c>
      <c r="H6" s="6" t="s">
        <v>22</v>
      </c>
    </row>
    <row r="7" spans="1:8" x14ac:dyDescent="0.3">
      <c r="A7" s="8" t="s">
        <v>23</v>
      </c>
      <c r="B7" s="10">
        <v>0.3</v>
      </c>
      <c r="H7" s="6" t="s">
        <v>24</v>
      </c>
    </row>
    <row r="8" spans="1:8" x14ac:dyDescent="0.3">
      <c r="A8" s="8" t="s">
        <v>25</v>
      </c>
      <c r="B8" s="10">
        <v>0.01</v>
      </c>
      <c r="H8" s="6" t="s">
        <v>24</v>
      </c>
    </row>
    <row r="9" spans="1:8" x14ac:dyDescent="0.3">
      <c r="A9" s="8" t="s">
        <v>26</v>
      </c>
      <c r="B9" s="10">
        <v>0.3</v>
      </c>
      <c r="H9" s="6" t="s">
        <v>27</v>
      </c>
    </row>
    <row r="10" spans="1:8" x14ac:dyDescent="0.3">
      <c r="A10" s="8" t="s">
        <v>28</v>
      </c>
      <c r="B10" s="10">
        <v>0.2</v>
      </c>
      <c r="H10" s="6" t="s">
        <v>29</v>
      </c>
    </row>
    <row r="11" spans="1:8" x14ac:dyDescent="0.3">
      <c r="A11" s="8" t="s">
        <v>30</v>
      </c>
      <c r="B11" s="11">
        <v>5</v>
      </c>
      <c r="H11" s="6" t="s">
        <v>31</v>
      </c>
    </row>
    <row r="12" spans="1:8" x14ac:dyDescent="0.3">
      <c r="A12" s="8" t="s">
        <v>32</v>
      </c>
      <c r="B12" s="10">
        <v>0.1</v>
      </c>
      <c r="H12" s="6" t="s">
        <v>33</v>
      </c>
    </row>
    <row r="13" spans="1:8" x14ac:dyDescent="0.3">
      <c r="A13" s="8" t="s">
        <v>34</v>
      </c>
      <c r="B13" s="10">
        <v>0.25</v>
      </c>
      <c r="H13" s="6" t="s">
        <v>35</v>
      </c>
    </row>
    <row r="14" spans="1:8" x14ac:dyDescent="0.3">
      <c r="A14" s="8" t="s">
        <v>36</v>
      </c>
      <c r="B14" s="12" t="s">
        <v>37</v>
      </c>
      <c r="H14" s="6" t="s">
        <v>38</v>
      </c>
    </row>
    <row r="16" spans="1:8" x14ac:dyDescent="0.3">
      <c r="A16" s="7" t="s">
        <v>39</v>
      </c>
      <c r="B16" s="7"/>
      <c r="C16" s="7"/>
      <c r="D16" s="7"/>
      <c r="E16" s="7"/>
      <c r="F16" s="7"/>
      <c r="G16" s="7"/>
      <c r="H16" s="7"/>
    </row>
    <row r="17" spans="1:8" ht="42" customHeight="1" x14ac:dyDescent="0.3">
      <c r="A17" s="13" t="s">
        <v>40</v>
      </c>
      <c r="B17" s="14" t="s">
        <v>41</v>
      </c>
      <c r="C17" s="14" t="s">
        <v>42</v>
      </c>
      <c r="D17" s="14" t="s">
        <v>43</v>
      </c>
      <c r="E17" s="14" t="s">
        <v>44</v>
      </c>
      <c r="F17" s="14" t="s">
        <v>45</v>
      </c>
      <c r="G17" s="14" t="s">
        <v>46</v>
      </c>
      <c r="H17" s="14" t="s">
        <v>47</v>
      </c>
    </row>
    <row r="18" spans="1:8" x14ac:dyDescent="0.3">
      <c r="A18" s="15" t="s">
        <v>48</v>
      </c>
      <c r="B18" s="16">
        <v>2500</v>
      </c>
      <c r="C18" s="16">
        <v>5000</v>
      </c>
      <c r="D18" s="10">
        <v>0.1</v>
      </c>
      <c r="E18" s="10">
        <v>0.12</v>
      </c>
      <c r="F18" s="16">
        <v>250</v>
      </c>
      <c r="G18" s="17">
        <f>B18/$B$5</f>
        <v>68.260690306708938</v>
      </c>
      <c r="H18" s="18">
        <f>IFERROR(B18/F18,0)</f>
        <v>10</v>
      </c>
    </row>
    <row r="19" spans="1:8" x14ac:dyDescent="0.3">
      <c r="A19" s="15" t="s">
        <v>49</v>
      </c>
      <c r="B19" s="16">
        <v>5000</v>
      </c>
      <c r="C19" s="16">
        <v>10000</v>
      </c>
      <c r="D19" s="10">
        <v>0.15</v>
      </c>
      <c r="E19" s="10">
        <v>0.08</v>
      </c>
      <c r="F19" s="16">
        <v>700</v>
      </c>
      <c r="G19" s="17">
        <f>B19/$B$5</f>
        <v>136.52138061341788</v>
      </c>
      <c r="H19" s="18">
        <f>IFERROR(B19/F19,0)</f>
        <v>7.1428571428571432</v>
      </c>
    </row>
    <row r="20" spans="1:8" x14ac:dyDescent="0.3">
      <c r="A20" s="15" t="s">
        <v>50</v>
      </c>
      <c r="B20" s="16">
        <v>9000</v>
      </c>
      <c r="C20" s="16">
        <v>20000</v>
      </c>
      <c r="D20" s="10">
        <v>0.22</v>
      </c>
      <c r="E20" s="10">
        <v>0.05</v>
      </c>
      <c r="F20" s="16">
        <v>1500</v>
      </c>
      <c r="G20" s="17">
        <f>B20/$B$5</f>
        <v>245.73848510415218</v>
      </c>
      <c r="H20" s="18">
        <f>IFERROR(B20/F20,0)</f>
        <v>6</v>
      </c>
    </row>
    <row r="21" spans="1:8" x14ac:dyDescent="0.3">
      <c r="A21" s="6" t="s">
        <v>51</v>
      </c>
    </row>
    <row r="23" spans="1:8" x14ac:dyDescent="0.3">
      <c r="A23" s="7" t="s">
        <v>52</v>
      </c>
      <c r="B23" s="7"/>
      <c r="C23" s="7"/>
      <c r="D23" s="7"/>
      <c r="E23" s="7"/>
      <c r="F23" s="7"/>
      <c r="G23" s="7"/>
      <c r="H23" s="7"/>
    </row>
    <row r="24" spans="1:8" x14ac:dyDescent="0.3">
      <c r="A24" s="13" t="s">
        <v>40</v>
      </c>
      <c r="B24" s="14" t="s">
        <v>53</v>
      </c>
      <c r="C24" s="14" t="s">
        <v>54</v>
      </c>
      <c r="D24" s="14" t="s">
        <v>55</v>
      </c>
      <c r="E24" s="14" t="s">
        <v>56</v>
      </c>
      <c r="F24" s="14" t="s">
        <v>57</v>
      </c>
    </row>
    <row r="25" spans="1:8" x14ac:dyDescent="0.3">
      <c r="A25" s="15" t="s">
        <v>48</v>
      </c>
      <c r="B25" s="19">
        <v>1</v>
      </c>
      <c r="C25" s="19">
        <v>2</v>
      </c>
      <c r="D25" s="19">
        <v>4</v>
      </c>
      <c r="E25" s="19">
        <v>7</v>
      </c>
      <c r="F25" s="19">
        <v>11</v>
      </c>
      <c r="H25" s="6" t="s">
        <v>58</v>
      </c>
    </row>
    <row r="26" spans="1:8" x14ac:dyDescent="0.3">
      <c r="A26" s="15" t="s">
        <v>49</v>
      </c>
      <c r="B26" s="19">
        <v>1</v>
      </c>
      <c r="C26" s="19">
        <v>2</v>
      </c>
      <c r="D26" s="19">
        <v>4</v>
      </c>
      <c r="E26" s="19">
        <v>7</v>
      </c>
      <c r="F26" s="19">
        <v>13</v>
      </c>
    </row>
    <row r="27" spans="1:8" x14ac:dyDescent="0.3">
      <c r="A27" s="15" t="s">
        <v>50</v>
      </c>
      <c r="B27" s="19">
        <v>0</v>
      </c>
      <c r="C27" s="19">
        <v>1</v>
      </c>
      <c r="D27" s="19">
        <v>2</v>
      </c>
      <c r="E27" s="19">
        <v>4</v>
      </c>
      <c r="F27" s="19">
        <v>6</v>
      </c>
    </row>
    <row r="28" spans="1:8" x14ac:dyDescent="0.3">
      <c r="A28" s="20" t="s">
        <v>59</v>
      </c>
      <c r="B28" s="21">
        <f>SUM(B25:B27)</f>
        <v>2</v>
      </c>
      <c r="C28" s="21">
        <f>SUM(C25:C27)</f>
        <v>5</v>
      </c>
      <c r="D28" s="21">
        <f>SUM(D25:D27)</f>
        <v>10</v>
      </c>
      <c r="E28" s="21">
        <f>SUM(E25:E27)</f>
        <v>18</v>
      </c>
      <c r="F28" s="21">
        <f>SUM(F25:F27)</f>
        <v>30</v>
      </c>
    </row>
    <row r="29" spans="1:8" x14ac:dyDescent="0.3">
      <c r="A29" s="22" t="s">
        <v>60</v>
      </c>
      <c r="B29" s="23">
        <f>B28*$B$54</f>
        <v>2.6</v>
      </c>
      <c r="C29" s="23">
        <f>C28*$B$54</f>
        <v>6.5</v>
      </c>
      <c r="D29" s="23">
        <f>D28*$B$54</f>
        <v>13</v>
      </c>
      <c r="E29" s="23">
        <f>E28*$B$54</f>
        <v>23.400000000000002</v>
      </c>
      <c r="F29" s="23">
        <f>F28*$B$54</f>
        <v>39</v>
      </c>
    </row>
    <row r="30" spans="1:8" x14ac:dyDescent="0.3">
      <c r="A30" s="7" t="s">
        <v>61</v>
      </c>
      <c r="B30" s="7"/>
      <c r="C30" s="7"/>
      <c r="D30" s="7"/>
      <c r="E30" s="7"/>
      <c r="F30" s="7"/>
      <c r="G30" s="7"/>
      <c r="H30" s="7"/>
    </row>
    <row r="31" spans="1:8" x14ac:dyDescent="0.3">
      <c r="A31" s="13" t="s">
        <v>62</v>
      </c>
      <c r="B31" s="14" t="s">
        <v>53</v>
      </c>
      <c r="C31" s="14" t="s">
        <v>54</v>
      </c>
      <c r="D31" s="14" t="s">
        <v>55</v>
      </c>
      <c r="E31" s="14" t="s">
        <v>56</v>
      </c>
      <c r="F31" s="14" t="s">
        <v>57</v>
      </c>
      <c r="G31" s="14" t="s">
        <v>63</v>
      </c>
    </row>
    <row r="32" spans="1:8" x14ac:dyDescent="0.3">
      <c r="A32" s="15" t="s">
        <v>64</v>
      </c>
      <c r="B32" s="16">
        <v>150000</v>
      </c>
      <c r="C32" s="16">
        <v>210000</v>
      </c>
      <c r="D32" s="16">
        <v>300000</v>
      </c>
      <c r="E32" s="16">
        <v>400000</v>
      </c>
      <c r="F32" s="16">
        <v>550000</v>
      </c>
      <c r="H32" s="6" t="s">
        <v>65</v>
      </c>
    </row>
    <row r="33" spans="1:8" x14ac:dyDescent="0.3">
      <c r="A33" s="24" t="s">
        <v>66</v>
      </c>
    </row>
    <row r="34" spans="1:8" x14ac:dyDescent="0.3">
      <c r="A34" s="8" t="s">
        <v>67</v>
      </c>
      <c r="B34" s="25">
        <f t="shared" ref="B34:F38" si="0">B$32*$G34</f>
        <v>60000</v>
      </c>
      <c r="C34" s="25">
        <f t="shared" si="0"/>
        <v>84000</v>
      </c>
      <c r="D34" s="25">
        <f t="shared" si="0"/>
        <v>120000</v>
      </c>
      <c r="E34" s="25">
        <f t="shared" si="0"/>
        <v>160000</v>
      </c>
      <c r="F34" s="25">
        <f t="shared" si="0"/>
        <v>220000</v>
      </c>
      <c r="G34" s="26">
        <v>0.4</v>
      </c>
    </row>
    <row r="35" spans="1:8" x14ac:dyDescent="0.3">
      <c r="A35" s="8" t="s">
        <v>68</v>
      </c>
      <c r="B35" s="25">
        <f t="shared" si="0"/>
        <v>22500</v>
      </c>
      <c r="C35" s="25">
        <f t="shared" si="0"/>
        <v>31500</v>
      </c>
      <c r="D35" s="25">
        <f t="shared" si="0"/>
        <v>45000</v>
      </c>
      <c r="E35" s="25">
        <f t="shared" si="0"/>
        <v>60000</v>
      </c>
      <c r="F35" s="25">
        <f t="shared" si="0"/>
        <v>82500</v>
      </c>
      <c r="G35" s="26">
        <v>0.15</v>
      </c>
    </row>
    <row r="36" spans="1:8" x14ac:dyDescent="0.3">
      <c r="A36" s="8" t="s">
        <v>69</v>
      </c>
      <c r="B36" s="25">
        <f t="shared" si="0"/>
        <v>37500</v>
      </c>
      <c r="C36" s="25">
        <f t="shared" si="0"/>
        <v>52500</v>
      </c>
      <c r="D36" s="25">
        <f t="shared" si="0"/>
        <v>75000</v>
      </c>
      <c r="E36" s="25">
        <f t="shared" si="0"/>
        <v>100000</v>
      </c>
      <c r="F36" s="25">
        <f t="shared" si="0"/>
        <v>137500</v>
      </c>
      <c r="G36" s="26">
        <v>0.25</v>
      </c>
    </row>
    <row r="37" spans="1:8" x14ac:dyDescent="0.3">
      <c r="A37" s="8" t="s">
        <v>70</v>
      </c>
      <c r="B37" s="25">
        <f t="shared" si="0"/>
        <v>15000</v>
      </c>
      <c r="C37" s="25">
        <f t="shared" si="0"/>
        <v>21000</v>
      </c>
      <c r="D37" s="25">
        <f t="shared" si="0"/>
        <v>30000</v>
      </c>
      <c r="E37" s="25">
        <f t="shared" si="0"/>
        <v>40000</v>
      </c>
      <c r="F37" s="25">
        <f t="shared" si="0"/>
        <v>55000</v>
      </c>
      <c r="G37" s="26">
        <v>0.1</v>
      </c>
    </row>
    <row r="38" spans="1:8" x14ac:dyDescent="0.3">
      <c r="A38" s="8" t="s">
        <v>71</v>
      </c>
      <c r="B38" s="25">
        <f t="shared" si="0"/>
        <v>15000</v>
      </c>
      <c r="C38" s="25">
        <f t="shared" si="0"/>
        <v>21000</v>
      </c>
      <c r="D38" s="25">
        <f t="shared" si="0"/>
        <v>30000</v>
      </c>
      <c r="E38" s="25">
        <f t="shared" si="0"/>
        <v>40000</v>
      </c>
      <c r="F38" s="25">
        <f t="shared" si="0"/>
        <v>55000</v>
      </c>
      <c r="G38" s="26">
        <v>0.1</v>
      </c>
    </row>
    <row r="39" spans="1:8" x14ac:dyDescent="0.3">
      <c r="A39" s="6" t="s">
        <v>72</v>
      </c>
      <c r="G39" s="27">
        <f>SUM(G34:G38)</f>
        <v>1</v>
      </c>
      <c r="H39" s="28" t="str">
        <f>IF(ROUND(G39,4)=1,"OK","Revisar: no suma 100%")</f>
        <v>OK</v>
      </c>
    </row>
    <row r="41" spans="1:8" x14ac:dyDescent="0.3">
      <c r="A41" s="7" t="s">
        <v>73</v>
      </c>
      <c r="B41" s="7"/>
      <c r="C41" s="7"/>
      <c r="D41" s="7"/>
      <c r="E41" s="7"/>
      <c r="F41" s="7"/>
      <c r="G41" s="7"/>
      <c r="H41" s="7"/>
    </row>
    <row r="42" spans="1:8" x14ac:dyDescent="0.3">
      <c r="A42" s="13" t="s">
        <v>62</v>
      </c>
      <c r="B42" s="14" t="s">
        <v>74</v>
      </c>
      <c r="C42" s="14" t="s">
        <v>75</v>
      </c>
    </row>
    <row r="43" spans="1:8" x14ac:dyDescent="0.3">
      <c r="A43" s="8" t="s">
        <v>76</v>
      </c>
      <c r="B43" s="16">
        <v>85000</v>
      </c>
      <c r="C43" s="29" t="s">
        <v>77</v>
      </c>
    </row>
    <row r="44" spans="1:8" x14ac:dyDescent="0.3">
      <c r="A44" s="8" t="s">
        <v>78</v>
      </c>
      <c r="B44" s="16">
        <v>20000</v>
      </c>
      <c r="C44" s="29" t="s">
        <v>77</v>
      </c>
    </row>
    <row r="45" spans="1:8" x14ac:dyDescent="0.3">
      <c r="A45" s="8" t="s">
        <v>79</v>
      </c>
      <c r="B45" s="16">
        <v>15000</v>
      </c>
      <c r="C45" s="29" t="s">
        <v>77</v>
      </c>
    </row>
    <row r="46" spans="1:8" x14ac:dyDescent="0.3">
      <c r="A46" s="8" t="s">
        <v>80</v>
      </c>
      <c r="B46" s="16">
        <v>60000</v>
      </c>
      <c r="C46" s="29" t="s">
        <v>81</v>
      </c>
    </row>
    <row r="47" spans="1:8" x14ac:dyDescent="0.3">
      <c r="A47" s="8" t="s">
        <v>82</v>
      </c>
      <c r="B47" s="16">
        <v>15000</v>
      </c>
      <c r="C47" s="29" t="s">
        <v>81</v>
      </c>
    </row>
    <row r="48" spans="1:8" x14ac:dyDescent="0.3">
      <c r="A48" s="8" t="s">
        <v>83</v>
      </c>
      <c r="B48" s="16">
        <v>10000</v>
      </c>
      <c r="C48" s="29" t="s">
        <v>81</v>
      </c>
    </row>
    <row r="49" spans="1:8" x14ac:dyDescent="0.3">
      <c r="A49" s="8" t="s">
        <v>84</v>
      </c>
      <c r="B49" s="16">
        <v>15000</v>
      </c>
      <c r="C49" s="29" t="s">
        <v>81</v>
      </c>
    </row>
    <row r="50" spans="1:8" x14ac:dyDescent="0.3">
      <c r="A50" s="20" t="s">
        <v>85</v>
      </c>
      <c r="B50" s="30">
        <f>SUM(B43:B49)</f>
        <v>220000</v>
      </c>
      <c r="C50" s="31">
        <f>B50/B5</f>
        <v>6006.9407469903863</v>
      </c>
    </row>
    <row r="52" spans="1:8" x14ac:dyDescent="0.3">
      <c r="A52" s="7" t="s">
        <v>86</v>
      </c>
      <c r="B52" s="7"/>
      <c r="C52" s="7"/>
      <c r="D52" s="7"/>
      <c r="E52" s="7"/>
      <c r="F52" s="7"/>
      <c r="G52" s="7"/>
      <c r="H52" s="7"/>
    </row>
    <row r="53" spans="1:8" ht="30" customHeight="1" x14ac:dyDescent="0.3">
      <c r="A53" s="13" t="s">
        <v>87</v>
      </c>
      <c r="B53" s="14" t="s">
        <v>88</v>
      </c>
      <c r="C53" s="14" t="s">
        <v>89</v>
      </c>
      <c r="D53" s="14" t="s">
        <v>90</v>
      </c>
      <c r="E53" s="14" t="s">
        <v>91</v>
      </c>
    </row>
    <row r="54" spans="1:8" x14ac:dyDescent="0.3">
      <c r="A54" s="15" t="s">
        <v>37</v>
      </c>
      <c r="B54" s="26">
        <v>1.3</v>
      </c>
      <c r="C54" s="26">
        <v>1.05</v>
      </c>
      <c r="D54" s="26">
        <v>0.95</v>
      </c>
      <c r="E54" s="26">
        <v>1</v>
      </c>
      <c r="H54" s="6" t="s">
        <v>92</v>
      </c>
    </row>
  </sheetData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8A8A"/>
    <pageSetUpPr fitToPage="1"/>
  </sheetPr>
  <dimension ref="A1:D21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52" customWidth="1"/>
    <col min="2" max="3" width="36" customWidth="1"/>
    <col min="4" max="4" width="40" customWidth="1"/>
  </cols>
  <sheetData>
    <row r="1" spans="1:4" ht="30" customHeight="1" x14ac:dyDescent="0.3">
      <c r="A1" s="5" t="s">
        <v>93</v>
      </c>
      <c r="B1" s="2"/>
      <c r="C1" s="2"/>
      <c r="D1" s="2"/>
    </row>
    <row r="2" spans="1:4" x14ac:dyDescent="0.3">
      <c r="A2" s="6" t="s">
        <v>94</v>
      </c>
    </row>
    <row r="4" spans="1:4" x14ac:dyDescent="0.3">
      <c r="A4" s="13" t="s">
        <v>95</v>
      </c>
      <c r="B4" s="14" t="s">
        <v>48</v>
      </c>
      <c r="C4" s="14" t="s">
        <v>49</v>
      </c>
      <c r="D4" s="14" t="s">
        <v>50</v>
      </c>
    </row>
    <row r="5" spans="1:4" ht="19.95" customHeight="1" x14ac:dyDescent="0.3">
      <c r="A5" s="32" t="s">
        <v>96</v>
      </c>
      <c r="B5" s="33">
        <f>Supuestos!B18</f>
        <v>2500</v>
      </c>
      <c r="C5" s="33">
        <f>Supuestos!B19</f>
        <v>5000</v>
      </c>
      <c r="D5" s="33">
        <f>Supuestos!B20</f>
        <v>9000</v>
      </c>
    </row>
    <row r="6" spans="1:4" ht="19.95" customHeight="1" x14ac:dyDescent="0.3">
      <c r="A6" s="32" t="s">
        <v>46</v>
      </c>
      <c r="B6" s="34">
        <f>Supuestos!G18</f>
        <v>68.260690306708938</v>
      </c>
      <c r="C6" s="34">
        <f>Supuestos!G19</f>
        <v>136.52138061341788</v>
      </c>
      <c r="D6" s="34">
        <f>Supuestos!G20</f>
        <v>245.73848510415218</v>
      </c>
    </row>
    <row r="7" spans="1:4" ht="19.95" customHeight="1" x14ac:dyDescent="0.3">
      <c r="A7" s="32" t="s">
        <v>97</v>
      </c>
      <c r="B7" s="33">
        <f>Supuestos!C18</f>
        <v>5000</v>
      </c>
      <c r="C7" s="33">
        <f>Supuestos!C19</f>
        <v>10000</v>
      </c>
      <c r="D7" s="33">
        <f>Supuestos!C20</f>
        <v>20000</v>
      </c>
    </row>
    <row r="8" spans="1:4" ht="19.95" customHeight="1" x14ac:dyDescent="0.3">
      <c r="A8" s="32" t="s">
        <v>98</v>
      </c>
      <c r="B8" s="35" t="s">
        <v>99</v>
      </c>
      <c r="C8" s="35" t="s">
        <v>100</v>
      </c>
      <c r="D8" s="35" t="s">
        <v>101</v>
      </c>
    </row>
    <row r="9" spans="1:4" ht="19.95" customHeight="1" x14ac:dyDescent="0.3">
      <c r="A9" s="32" t="s">
        <v>102</v>
      </c>
      <c r="B9" s="35" t="s">
        <v>103</v>
      </c>
      <c r="C9" s="35" t="s">
        <v>104</v>
      </c>
      <c r="D9" s="35" t="s">
        <v>101</v>
      </c>
    </row>
    <row r="10" spans="1:4" ht="31.95" customHeight="1" x14ac:dyDescent="0.3">
      <c r="A10" s="32" t="s">
        <v>105</v>
      </c>
      <c r="B10" s="35" t="s">
        <v>106</v>
      </c>
      <c r="C10" s="35" t="s">
        <v>106</v>
      </c>
      <c r="D10" s="35" t="s">
        <v>106</v>
      </c>
    </row>
    <row r="11" spans="1:4" ht="31.95" customHeight="1" x14ac:dyDescent="0.3">
      <c r="A11" s="32" t="s">
        <v>107</v>
      </c>
      <c r="B11" s="35" t="s">
        <v>108</v>
      </c>
      <c r="C11" s="35" t="s">
        <v>109</v>
      </c>
      <c r="D11" s="35" t="s">
        <v>110</v>
      </c>
    </row>
    <row r="12" spans="1:4" ht="31.95" customHeight="1" x14ac:dyDescent="0.3">
      <c r="A12" s="32" t="s">
        <v>111</v>
      </c>
      <c r="B12" s="35" t="s">
        <v>112</v>
      </c>
      <c r="C12" s="35" t="s">
        <v>113</v>
      </c>
      <c r="D12" s="35" t="s">
        <v>114</v>
      </c>
    </row>
    <row r="13" spans="1:4" ht="31.95" customHeight="1" x14ac:dyDescent="0.3">
      <c r="A13" s="32" t="s">
        <v>115</v>
      </c>
      <c r="B13" s="35" t="s">
        <v>116</v>
      </c>
      <c r="C13" s="35" t="s">
        <v>117</v>
      </c>
      <c r="D13" s="35" t="s">
        <v>101</v>
      </c>
    </row>
    <row r="14" spans="1:4" ht="31.95" customHeight="1" x14ac:dyDescent="0.3">
      <c r="A14" s="32" t="s">
        <v>118</v>
      </c>
      <c r="B14" s="35" t="s">
        <v>119</v>
      </c>
      <c r="C14" s="35" t="s">
        <v>106</v>
      </c>
      <c r="D14" s="35" t="s">
        <v>120</v>
      </c>
    </row>
    <row r="15" spans="1:4" ht="31.95" customHeight="1" x14ac:dyDescent="0.3">
      <c r="A15" s="32" t="s">
        <v>121</v>
      </c>
      <c r="B15" s="35" t="s">
        <v>122</v>
      </c>
      <c r="C15" s="35" t="s">
        <v>123</v>
      </c>
      <c r="D15" s="35" t="s">
        <v>124</v>
      </c>
    </row>
    <row r="16" spans="1:4" ht="31.95" customHeight="1" x14ac:dyDescent="0.3">
      <c r="A16" s="32" t="s">
        <v>125</v>
      </c>
      <c r="B16" s="35" t="s">
        <v>126</v>
      </c>
      <c r="C16" s="35" t="s">
        <v>127</v>
      </c>
      <c r="D16" s="35" t="s">
        <v>128</v>
      </c>
    </row>
    <row r="17" spans="1:4" ht="31.95" customHeight="1" x14ac:dyDescent="0.3">
      <c r="A17" s="32" t="s">
        <v>129</v>
      </c>
      <c r="B17" s="35" t="s">
        <v>130</v>
      </c>
      <c r="C17" s="35" t="s">
        <v>131</v>
      </c>
      <c r="D17" s="35" t="s">
        <v>132</v>
      </c>
    </row>
    <row r="18" spans="1:4" ht="31.95" customHeight="1" x14ac:dyDescent="0.3">
      <c r="A18" s="32" t="s">
        <v>133</v>
      </c>
      <c r="B18" s="35" t="s">
        <v>134</v>
      </c>
      <c r="C18" s="35" t="s">
        <v>135</v>
      </c>
      <c r="D18" s="35" t="s">
        <v>136</v>
      </c>
    </row>
    <row r="19" spans="1:4" ht="31.95" customHeight="1" x14ac:dyDescent="0.3">
      <c r="A19" s="32" t="s">
        <v>137</v>
      </c>
      <c r="B19" s="36">
        <f>1-Supuestos!D18</f>
        <v>0.9</v>
      </c>
      <c r="C19" s="36">
        <f>1-Supuestos!D19</f>
        <v>0.85</v>
      </c>
      <c r="D19" s="36">
        <f>1-Supuestos!D20</f>
        <v>0.78</v>
      </c>
    </row>
    <row r="21" spans="1:4" x14ac:dyDescent="0.3">
      <c r="A21" s="6" t="s">
        <v>138</v>
      </c>
    </row>
  </sheetData>
  <pageMargins left="0.75" right="0.75" top="1" bottom="1" header="0.5" footer="0.5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8A8A"/>
    <pageSetUpPr fitToPage="1"/>
  </sheetPr>
  <dimension ref="A1:H65"/>
  <sheetViews>
    <sheetView showGridLines="0"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52" customWidth="1"/>
    <col min="2" max="8" width="14.44140625" customWidth="1"/>
  </cols>
  <sheetData>
    <row r="1" spans="1:8" ht="16.8" x14ac:dyDescent="0.3">
      <c r="A1" s="37" t="s">
        <v>139</v>
      </c>
      <c r="G1" s="38" t="s">
        <v>140</v>
      </c>
      <c r="H1" s="39" t="str">
        <f>Supuestos!B14</f>
        <v>Optimista</v>
      </c>
    </row>
    <row r="2" spans="1:8" x14ac:dyDescent="0.3">
      <c r="A2" s="13" t="s">
        <v>141</v>
      </c>
      <c r="B2" s="14" t="s">
        <v>142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14" t="s">
        <v>143</v>
      </c>
    </row>
    <row r="3" spans="1:8" x14ac:dyDescent="0.3">
      <c r="A3" s="6" t="s">
        <v>144</v>
      </c>
      <c r="B3" s="40">
        <v>0</v>
      </c>
      <c r="C3" s="40">
        <v>1</v>
      </c>
      <c r="D3" s="40">
        <v>2</v>
      </c>
      <c r="E3" s="40">
        <v>3</v>
      </c>
      <c r="F3" s="40">
        <v>4</v>
      </c>
      <c r="G3" s="40">
        <v>5</v>
      </c>
    </row>
    <row r="4" spans="1:8" x14ac:dyDescent="0.3">
      <c r="A4" s="22" t="s">
        <v>145</v>
      </c>
      <c r="B4" s="22"/>
      <c r="C4" s="22"/>
      <c r="D4" s="22"/>
      <c r="E4" s="22"/>
      <c r="F4" s="22"/>
      <c r="G4" s="22"/>
      <c r="H4" s="22"/>
    </row>
    <row r="5" spans="1:8" x14ac:dyDescent="0.3">
      <c r="A5" s="8" t="s">
        <v>146</v>
      </c>
      <c r="B5" s="41">
        <v>0</v>
      </c>
      <c r="C5" s="42">
        <f>Supuestos!B25*Supuestos!$B$54</f>
        <v>1.3</v>
      </c>
      <c r="D5" s="42">
        <f>Supuestos!C25*Supuestos!$B$54</f>
        <v>2.6</v>
      </c>
      <c r="E5" s="42">
        <f>Supuestos!D25*Supuestos!$B$54</f>
        <v>5.2</v>
      </c>
      <c r="F5" s="42">
        <f>Supuestos!E25*Supuestos!$B$54</f>
        <v>9.1</v>
      </c>
      <c r="G5" s="42">
        <f>Supuestos!F25*Supuestos!$B$54</f>
        <v>14.3</v>
      </c>
      <c r="H5" s="41"/>
    </row>
    <row r="6" spans="1:8" x14ac:dyDescent="0.3">
      <c r="A6" s="8" t="s">
        <v>147</v>
      </c>
      <c r="B6" s="41">
        <v>0</v>
      </c>
      <c r="C6" s="42">
        <f>Supuestos!B26*Supuestos!$B$54</f>
        <v>1.3</v>
      </c>
      <c r="D6" s="42">
        <f>Supuestos!C26*Supuestos!$B$54</f>
        <v>2.6</v>
      </c>
      <c r="E6" s="42">
        <f>Supuestos!D26*Supuestos!$B$54</f>
        <v>5.2</v>
      </c>
      <c r="F6" s="42">
        <f>Supuestos!E26*Supuestos!$B$54</f>
        <v>9.1</v>
      </c>
      <c r="G6" s="42">
        <f>Supuestos!F26*Supuestos!$B$54</f>
        <v>16.900000000000002</v>
      </c>
      <c r="H6" s="41"/>
    </row>
    <row r="7" spans="1:8" x14ac:dyDescent="0.3">
      <c r="A7" s="8" t="s">
        <v>148</v>
      </c>
      <c r="B7" s="41">
        <v>0</v>
      </c>
      <c r="C7" s="42">
        <f>Supuestos!B27*Supuestos!$B$54</f>
        <v>0</v>
      </c>
      <c r="D7" s="42">
        <f>Supuestos!C27*Supuestos!$B$54</f>
        <v>1.3</v>
      </c>
      <c r="E7" s="42">
        <f>Supuestos!D27*Supuestos!$B$54</f>
        <v>2.6</v>
      </c>
      <c r="F7" s="42">
        <f>Supuestos!E27*Supuestos!$B$54</f>
        <v>5.2</v>
      </c>
      <c r="G7" s="42">
        <f>Supuestos!F27*Supuestos!$B$54</f>
        <v>7.8000000000000007</v>
      </c>
      <c r="H7" s="41"/>
    </row>
    <row r="8" spans="1:8" x14ac:dyDescent="0.3">
      <c r="A8" s="20" t="s">
        <v>149</v>
      </c>
      <c r="B8" s="43"/>
      <c r="C8" s="43">
        <f>SUM(C5:C7)</f>
        <v>2.6</v>
      </c>
      <c r="D8" s="43">
        <f>SUM(D5:D7)</f>
        <v>6.5</v>
      </c>
      <c r="E8" s="43">
        <f>SUM(E5:E7)</f>
        <v>13</v>
      </c>
      <c r="F8" s="43">
        <f>SUM(F5:F7)</f>
        <v>23.4</v>
      </c>
      <c r="G8" s="43">
        <f>SUM(G5:G7)</f>
        <v>39</v>
      </c>
      <c r="H8" s="43"/>
    </row>
    <row r="9" spans="1:8" x14ac:dyDescent="0.3">
      <c r="A9" s="22" t="s">
        <v>150</v>
      </c>
      <c r="B9" s="22"/>
      <c r="C9" s="22"/>
      <c r="D9" s="22"/>
      <c r="E9" s="22"/>
      <c r="F9" s="22"/>
      <c r="G9" s="22"/>
      <c r="H9" s="22"/>
    </row>
    <row r="10" spans="1:8" x14ac:dyDescent="0.3">
      <c r="A10" s="8" t="s">
        <v>146</v>
      </c>
      <c r="B10" s="44"/>
      <c r="C10" s="44">
        <f t="shared" ref="C10:G12" si="0">(B5+C5)/2</f>
        <v>0.65</v>
      </c>
      <c r="D10" s="44">
        <f t="shared" si="0"/>
        <v>1.9500000000000002</v>
      </c>
      <c r="E10" s="44">
        <f t="shared" si="0"/>
        <v>3.9000000000000004</v>
      </c>
      <c r="F10" s="44">
        <f t="shared" si="0"/>
        <v>7.15</v>
      </c>
      <c r="G10" s="44">
        <f t="shared" si="0"/>
        <v>11.7</v>
      </c>
      <c r="H10" s="44"/>
    </row>
    <row r="11" spans="1:8" x14ac:dyDescent="0.3">
      <c r="A11" s="8" t="s">
        <v>147</v>
      </c>
      <c r="B11" s="44"/>
      <c r="C11" s="44">
        <f t="shared" si="0"/>
        <v>0.65</v>
      </c>
      <c r="D11" s="44">
        <f t="shared" si="0"/>
        <v>1.9500000000000002</v>
      </c>
      <c r="E11" s="44">
        <f t="shared" si="0"/>
        <v>3.9000000000000004</v>
      </c>
      <c r="F11" s="44">
        <f t="shared" si="0"/>
        <v>7.15</v>
      </c>
      <c r="G11" s="44">
        <f t="shared" si="0"/>
        <v>13</v>
      </c>
      <c r="H11" s="44"/>
    </row>
    <row r="12" spans="1:8" x14ac:dyDescent="0.3">
      <c r="A12" s="8" t="s">
        <v>148</v>
      </c>
      <c r="B12" s="44"/>
      <c r="C12" s="44">
        <f t="shared" si="0"/>
        <v>0</v>
      </c>
      <c r="D12" s="44">
        <f t="shared" si="0"/>
        <v>0.65</v>
      </c>
      <c r="E12" s="44">
        <f t="shared" si="0"/>
        <v>1.9500000000000002</v>
      </c>
      <c r="F12" s="44">
        <f t="shared" si="0"/>
        <v>3.9000000000000004</v>
      </c>
      <c r="G12" s="44">
        <f t="shared" si="0"/>
        <v>6.5</v>
      </c>
      <c r="H12" s="44"/>
    </row>
    <row r="13" spans="1:8" x14ac:dyDescent="0.3">
      <c r="A13" s="20" t="s">
        <v>151</v>
      </c>
      <c r="B13" s="43"/>
      <c r="C13" s="43">
        <f>SUM(C10:C12)</f>
        <v>1.3</v>
      </c>
      <c r="D13" s="43">
        <f>SUM(D10:D12)</f>
        <v>4.5500000000000007</v>
      </c>
      <c r="E13" s="43">
        <f>SUM(E10:E12)</f>
        <v>9.75</v>
      </c>
      <c r="F13" s="43">
        <f>SUM(F10:F12)</f>
        <v>18.200000000000003</v>
      </c>
      <c r="G13" s="43">
        <f>SUM(G10:G12)</f>
        <v>31.2</v>
      </c>
      <c r="H13" s="43">
        <f>SUM(C13:G13)</f>
        <v>65</v>
      </c>
    </row>
    <row r="14" spans="1:8" x14ac:dyDescent="0.3">
      <c r="A14" s="22" t="s">
        <v>152</v>
      </c>
      <c r="B14" s="22"/>
      <c r="C14" s="22"/>
      <c r="D14" s="22"/>
      <c r="E14" s="22"/>
      <c r="F14" s="22"/>
      <c r="G14" s="22"/>
      <c r="H14" s="22"/>
    </row>
    <row r="15" spans="1:8" x14ac:dyDescent="0.3">
      <c r="A15" s="8" t="s">
        <v>153</v>
      </c>
      <c r="B15" s="44"/>
      <c r="C15" s="44">
        <f t="shared" ref="C15:G17" si="1">MAX(0,C5-B5)</f>
        <v>1.3</v>
      </c>
      <c r="D15" s="44">
        <f t="shared" si="1"/>
        <v>1.3</v>
      </c>
      <c r="E15" s="44">
        <f t="shared" si="1"/>
        <v>2.6</v>
      </c>
      <c r="F15" s="44">
        <f t="shared" si="1"/>
        <v>3.8999999999999995</v>
      </c>
      <c r="G15" s="44">
        <f t="shared" si="1"/>
        <v>5.2000000000000011</v>
      </c>
      <c r="H15" s="44"/>
    </row>
    <row r="16" spans="1:8" x14ac:dyDescent="0.3">
      <c r="A16" s="8" t="s">
        <v>154</v>
      </c>
      <c r="B16" s="44"/>
      <c r="C16" s="44">
        <f t="shared" si="1"/>
        <v>1.3</v>
      </c>
      <c r="D16" s="44">
        <f t="shared" si="1"/>
        <v>1.3</v>
      </c>
      <c r="E16" s="44">
        <f t="shared" si="1"/>
        <v>2.6</v>
      </c>
      <c r="F16" s="44">
        <f t="shared" si="1"/>
        <v>3.8999999999999995</v>
      </c>
      <c r="G16" s="44">
        <f t="shared" si="1"/>
        <v>7.8000000000000025</v>
      </c>
      <c r="H16" s="44"/>
    </row>
    <row r="17" spans="1:8" x14ac:dyDescent="0.3">
      <c r="A17" s="8" t="s">
        <v>155</v>
      </c>
      <c r="B17" s="44"/>
      <c r="C17" s="44">
        <f t="shared" si="1"/>
        <v>0</v>
      </c>
      <c r="D17" s="44">
        <f t="shared" si="1"/>
        <v>1.3</v>
      </c>
      <c r="E17" s="44">
        <f t="shared" si="1"/>
        <v>1.3</v>
      </c>
      <c r="F17" s="44">
        <f t="shared" si="1"/>
        <v>2.6</v>
      </c>
      <c r="G17" s="44">
        <f t="shared" si="1"/>
        <v>2.6000000000000005</v>
      </c>
      <c r="H17" s="44"/>
    </row>
    <row r="18" spans="1:8" x14ac:dyDescent="0.3">
      <c r="A18" s="20" t="s">
        <v>156</v>
      </c>
      <c r="B18" s="43"/>
      <c r="C18" s="43">
        <f>SUM(C15:C17)</f>
        <v>2.6</v>
      </c>
      <c r="D18" s="43">
        <f>SUM(D15:D17)</f>
        <v>3.9000000000000004</v>
      </c>
      <c r="E18" s="43">
        <f>SUM(E15:E17)</f>
        <v>6.5</v>
      </c>
      <c r="F18" s="43">
        <f>SUM(F15:F17)</f>
        <v>10.399999999999999</v>
      </c>
      <c r="G18" s="43">
        <f>SUM(G15:G17)</f>
        <v>15.600000000000005</v>
      </c>
      <c r="H18" s="43">
        <f>SUM(C18:G18)</f>
        <v>39</v>
      </c>
    </row>
    <row r="19" spans="1:8" x14ac:dyDescent="0.3">
      <c r="A19" s="8" t="s">
        <v>157</v>
      </c>
      <c r="B19" s="44"/>
      <c r="C19" s="44">
        <f>C18+B5*Supuestos!$E$18+B6*Supuestos!$E$19+B7*Supuestos!$E$20</f>
        <v>2.6</v>
      </c>
      <c r="D19" s="44">
        <f>D18+C5*Supuestos!$E$18+C6*Supuestos!$E$19+C7*Supuestos!$E$20</f>
        <v>4.16</v>
      </c>
      <c r="E19" s="44">
        <f>E18+D5*Supuestos!$E$18+D6*Supuestos!$E$19+D7*Supuestos!$E$20</f>
        <v>7.0850000000000009</v>
      </c>
      <c r="F19" s="44">
        <f>F18+E5*Supuestos!$E$18+E6*Supuestos!$E$19+E7*Supuestos!$E$20</f>
        <v>11.57</v>
      </c>
      <c r="G19" s="44">
        <f>G18+F5*Supuestos!$E$18+F6*Supuestos!$E$19+F7*Supuestos!$E$20</f>
        <v>17.680000000000007</v>
      </c>
      <c r="H19" s="44">
        <f>SUM(C19:G19)</f>
        <v>43.095000000000006</v>
      </c>
    </row>
    <row r="20" spans="1:8" x14ac:dyDescent="0.3">
      <c r="A20" s="22" t="s">
        <v>158</v>
      </c>
      <c r="B20" s="22"/>
      <c r="C20" s="22"/>
      <c r="D20" s="22"/>
      <c r="E20" s="22"/>
      <c r="F20" s="22"/>
      <c r="G20" s="22"/>
      <c r="H20" s="22"/>
    </row>
    <row r="21" spans="1:8" x14ac:dyDescent="0.3">
      <c r="A21" s="8" t="s">
        <v>159</v>
      </c>
      <c r="B21" s="45"/>
      <c r="C21" s="45">
        <f>C10*Supuestos!$B$18*Supuestos!$C$54*12</f>
        <v>20475</v>
      </c>
      <c r="D21" s="45">
        <f>D10*Supuestos!$B$18*Supuestos!$C$54*12</f>
        <v>61425</v>
      </c>
      <c r="E21" s="45">
        <f>E10*Supuestos!$B$18*Supuestos!$C$54*12</f>
        <v>122850</v>
      </c>
      <c r="F21" s="45">
        <f>F10*Supuestos!$B$18*Supuestos!$C$54*12</f>
        <v>225225</v>
      </c>
      <c r="G21" s="45">
        <f>G10*Supuestos!$B$18*Supuestos!$C$54*12</f>
        <v>368550</v>
      </c>
      <c r="H21" s="45">
        <f t="shared" ref="H21:H26" si="2">SUM(C21:G21)</f>
        <v>798525</v>
      </c>
    </row>
    <row r="22" spans="1:8" x14ac:dyDescent="0.3">
      <c r="A22" s="8" t="s">
        <v>160</v>
      </c>
      <c r="B22" s="45"/>
      <c r="C22" s="45">
        <f>C11*Supuestos!$B$19*Supuestos!$C$54*12</f>
        <v>40950</v>
      </c>
      <c r="D22" s="45">
        <f>D11*Supuestos!$B$19*Supuestos!$C$54*12</f>
        <v>122850</v>
      </c>
      <c r="E22" s="45">
        <f>E11*Supuestos!$B$19*Supuestos!$C$54*12</f>
        <v>245700</v>
      </c>
      <c r="F22" s="45">
        <f>F11*Supuestos!$B$19*Supuestos!$C$54*12</f>
        <v>450450</v>
      </c>
      <c r="G22" s="45">
        <f>G11*Supuestos!$B$19*Supuestos!$C$54*12</f>
        <v>819000</v>
      </c>
      <c r="H22" s="45">
        <f t="shared" si="2"/>
        <v>1678950</v>
      </c>
    </row>
    <row r="23" spans="1:8" x14ac:dyDescent="0.3">
      <c r="A23" s="8" t="s">
        <v>161</v>
      </c>
      <c r="B23" s="45"/>
      <c r="C23" s="45">
        <f>C12*Supuestos!$B$20*Supuestos!$C$54*12</f>
        <v>0</v>
      </c>
      <c r="D23" s="45">
        <f>D12*Supuestos!$B$20*Supuestos!$C$54*12</f>
        <v>73710</v>
      </c>
      <c r="E23" s="45">
        <f>E12*Supuestos!$B$20*Supuestos!$C$54*12</f>
        <v>221130</v>
      </c>
      <c r="F23" s="45">
        <f>F12*Supuestos!$B$20*Supuestos!$C$54*12</f>
        <v>442260</v>
      </c>
      <c r="G23" s="45">
        <f>G12*Supuestos!$B$20*Supuestos!$C$54*12</f>
        <v>737100</v>
      </c>
      <c r="H23" s="45">
        <f t="shared" si="2"/>
        <v>1474200</v>
      </c>
    </row>
    <row r="24" spans="1:8" x14ac:dyDescent="0.3">
      <c r="A24" s="20" t="s">
        <v>162</v>
      </c>
      <c r="B24" s="46"/>
      <c r="C24" s="46">
        <f>SUM(C21:C23)</f>
        <v>61425</v>
      </c>
      <c r="D24" s="46">
        <f>SUM(D21:D23)</f>
        <v>257985</v>
      </c>
      <c r="E24" s="46">
        <f>SUM(E21:E23)</f>
        <v>589680</v>
      </c>
      <c r="F24" s="46">
        <f>SUM(F21:F23)</f>
        <v>1117935</v>
      </c>
      <c r="G24" s="46">
        <f>SUM(G21:G23)</f>
        <v>1924650</v>
      </c>
      <c r="H24" s="46">
        <f t="shared" si="2"/>
        <v>3951675</v>
      </c>
    </row>
    <row r="25" spans="1:8" x14ac:dyDescent="0.3">
      <c r="A25" s="8" t="s">
        <v>163</v>
      </c>
      <c r="B25" s="45"/>
      <c r="C25" s="45">
        <f>(C15*Supuestos!$C$18+C16*Supuestos!$C$19+C17*Supuestos!$C$20)*Supuestos!$C$54</f>
        <v>20475</v>
      </c>
      <c r="D25" s="45">
        <f>(D15*Supuestos!$C$18+D16*Supuestos!$C$19+D17*Supuestos!$C$20)*Supuestos!$C$54</f>
        <v>47775</v>
      </c>
      <c r="E25" s="45">
        <f>(E15*Supuestos!$C$18+E16*Supuestos!$C$19+E17*Supuestos!$C$20)*Supuestos!$C$54</f>
        <v>68250</v>
      </c>
      <c r="F25" s="45">
        <f>(F15*Supuestos!$C$18+F16*Supuestos!$C$19+F17*Supuestos!$C$20)*Supuestos!$C$54</f>
        <v>116024.99999999999</v>
      </c>
      <c r="G25" s="45">
        <f>(G15*Supuestos!$C$18+G16*Supuestos!$C$19+G17*Supuestos!$C$20)*Supuestos!$C$54</f>
        <v>163800.00000000003</v>
      </c>
      <c r="H25" s="45">
        <f t="shared" si="2"/>
        <v>416325</v>
      </c>
    </row>
    <row r="26" spans="1:8" x14ac:dyDescent="0.3">
      <c r="A26" s="20" t="s">
        <v>164</v>
      </c>
      <c r="B26" s="46"/>
      <c r="C26" s="46">
        <f>C24+C25</f>
        <v>81900</v>
      </c>
      <c r="D26" s="46">
        <f>D24+D25</f>
        <v>305760</v>
      </c>
      <c r="E26" s="46">
        <f>E24+E25</f>
        <v>657930</v>
      </c>
      <c r="F26" s="46">
        <f>F24+F25</f>
        <v>1233960</v>
      </c>
      <c r="G26" s="46">
        <f>G24+G25</f>
        <v>2088450</v>
      </c>
      <c r="H26" s="46">
        <f t="shared" si="2"/>
        <v>4368000</v>
      </c>
    </row>
    <row r="27" spans="1:8" x14ac:dyDescent="0.3">
      <c r="A27" s="22" t="s">
        <v>165</v>
      </c>
      <c r="B27" s="22"/>
      <c r="C27" s="22"/>
      <c r="D27" s="22"/>
      <c r="E27" s="22"/>
      <c r="F27" s="22"/>
      <c r="G27" s="22"/>
      <c r="H27" s="22"/>
    </row>
    <row r="28" spans="1:8" x14ac:dyDescent="0.3">
      <c r="A28" s="8" t="s">
        <v>166</v>
      </c>
      <c r="B28" s="45"/>
      <c r="C28" s="45">
        <f>(C21*Supuestos!$D$18+C22*Supuestos!$D$19+C23*Supuestos!$D$20)*Supuestos!$D$54</f>
        <v>7780.5</v>
      </c>
      <c r="D28" s="45">
        <f>(D21*Supuestos!$D$18+D22*Supuestos!$D$19+D23*Supuestos!$D$20)*Supuestos!$D$54</f>
        <v>38746.889999999992</v>
      </c>
      <c r="E28" s="45">
        <f>(E21*Supuestos!$D$18+E22*Supuestos!$D$19+E23*Supuestos!$D$20)*Supuestos!$D$54</f>
        <v>92899.17</v>
      </c>
      <c r="F28" s="45">
        <f>(F21*Supuestos!$D$18+F22*Supuestos!$D$19+F23*Supuestos!$D$20)*Supuestos!$D$54</f>
        <v>178017.84</v>
      </c>
      <c r="G28" s="45">
        <f>(G21*Supuestos!$D$18+G22*Supuestos!$D$19+G23*Supuestos!$D$20)*Supuestos!$D$54</f>
        <v>305773.64999999997</v>
      </c>
      <c r="H28" s="45">
        <f>SUM(C28:G28)</f>
        <v>623218.05000000005</v>
      </c>
    </row>
    <row r="29" spans="1:8" x14ac:dyDescent="0.3">
      <c r="A29" s="8" t="s">
        <v>167</v>
      </c>
      <c r="B29" s="45"/>
      <c r="C29" s="45">
        <f>C25*Supuestos!$B$9</f>
        <v>6142.5</v>
      </c>
      <c r="D29" s="45">
        <f>D25*Supuestos!$B$9</f>
        <v>14332.5</v>
      </c>
      <c r="E29" s="45">
        <f>E25*Supuestos!$B$9</f>
        <v>20475</v>
      </c>
      <c r="F29" s="45">
        <f>F25*Supuestos!$B$9</f>
        <v>34807.499999999993</v>
      </c>
      <c r="G29" s="45">
        <f>G25*Supuestos!$B$9</f>
        <v>49140.000000000007</v>
      </c>
      <c r="H29" s="45">
        <f>SUM(C29:G29)</f>
        <v>124897.5</v>
      </c>
    </row>
    <row r="30" spans="1:8" x14ac:dyDescent="0.3">
      <c r="A30" s="20" t="s">
        <v>168</v>
      </c>
      <c r="B30" s="46"/>
      <c r="C30" s="46">
        <f>C28+C29</f>
        <v>13923</v>
      </c>
      <c r="D30" s="46">
        <f>D28+D29</f>
        <v>53079.389999999992</v>
      </c>
      <c r="E30" s="46">
        <f>E28+E29</f>
        <v>113374.17</v>
      </c>
      <c r="F30" s="46">
        <f>F28+F29</f>
        <v>212825.34</v>
      </c>
      <c r="G30" s="46">
        <f>G28+G29</f>
        <v>354913.64999999997</v>
      </c>
      <c r="H30" s="46">
        <f>SUM(C30:G30)</f>
        <v>748115.55</v>
      </c>
    </row>
    <row r="31" spans="1:8" x14ac:dyDescent="0.3">
      <c r="A31" s="8" t="s">
        <v>169</v>
      </c>
      <c r="B31" s="45"/>
      <c r="C31" s="47">
        <f>Supuestos!B$32*Supuestos!$E$54</f>
        <v>150000</v>
      </c>
      <c r="D31" s="47">
        <f>Supuestos!C$32*Supuestos!$E$54</f>
        <v>210000</v>
      </c>
      <c r="E31" s="47">
        <f>Supuestos!D$32*Supuestos!$E$54</f>
        <v>300000</v>
      </c>
      <c r="F31" s="47">
        <f>Supuestos!E$32*Supuestos!$E$54</f>
        <v>400000</v>
      </c>
      <c r="G31" s="47">
        <f>Supuestos!F$32*Supuestos!$E$54</f>
        <v>550000</v>
      </c>
      <c r="H31" s="45">
        <f>SUM(C31:G31)</f>
        <v>1610000</v>
      </c>
    </row>
    <row r="32" spans="1:8" x14ac:dyDescent="0.3">
      <c r="A32" s="20" t="s">
        <v>170</v>
      </c>
      <c r="B32" s="46"/>
      <c r="C32" s="46">
        <f>C30+C31</f>
        <v>163923</v>
      </c>
      <c r="D32" s="46">
        <f>D30+D31</f>
        <v>263079.39</v>
      </c>
      <c r="E32" s="46">
        <f>E30+E31</f>
        <v>413374.17</v>
      </c>
      <c r="F32" s="46">
        <f>F30+F31</f>
        <v>612825.34</v>
      </c>
      <c r="G32" s="46">
        <f>G30+G31</f>
        <v>904913.64999999991</v>
      </c>
      <c r="H32" s="46">
        <f>SUM(C32:G32)</f>
        <v>2358115.5499999998</v>
      </c>
    </row>
    <row r="33" spans="1:8" x14ac:dyDescent="0.3">
      <c r="A33" s="22" t="s">
        <v>171</v>
      </c>
      <c r="B33" s="22"/>
      <c r="C33" s="22"/>
      <c r="D33" s="22"/>
      <c r="E33" s="22"/>
      <c r="F33" s="22"/>
      <c r="G33" s="22"/>
      <c r="H33" s="22"/>
    </row>
    <row r="34" spans="1:8" x14ac:dyDescent="0.3">
      <c r="A34" s="20" t="s">
        <v>172</v>
      </c>
      <c r="B34" s="46"/>
      <c r="C34" s="46">
        <f>C26-C32</f>
        <v>-82023</v>
      </c>
      <c r="D34" s="46">
        <f>D26-D32</f>
        <v>42680.609999999986</v>
      </c>
      <c r="E34" s="46">
        <f>E26-E32</f>
        <v>244555.83000000002</v>
      </c>
      <c r="F34" s="46">
        <f>F26-F32</f>
        <v>621134.66</v>
      </c>
      <c r="G34" s="46">
        <f>G26-G32</f>
        <v>1183536.3500000001</v>
      </c>
      <c r="H34" s="46">
        <f>SUM(C34:G34)</f>
        <v>2009884.4500000002</v>
      </c>
    </row>
    <row r="35" spans="1:8" x14ac:dyDescent="0.3">
      <c r="A35" s="8" t="s">
        <v>173</v>
      </c>
      <c r="B35" s="48"/>
      <c r="C35" s="48">
        <f>IF(C26=0,0,C34/C26)</f>
        <v>-1.0015018315018316</v>
      </c>
      <c r="D35" s="48">
        <f>IF(D26=0,0,D34/D26)</f>
        <v>0.13958859890109884</v>
      </c>
      <c r="E35" s="48">
        <f>IF(E26=0,0,E34/E26)</f>
        <v>0.3717049382153117</v>
      </c>
      <c r="F35" s="48">
        <f>IF(F26=0,0,F34/F26)</f>
        <v>0.50336693247755193</v>
      </c>
      <c r="G35" s="48">
        <f>IF(G26=0,0,G34/G26)</f>
        <v>0.5667056189997367</v>
      </c>
      <c r="H35" s="48"/>
    </row>
    <row r="36" spans="1:8" x14ac:dyDescent="0.3">
      <c r="A36" s="8" t="s">
        <v>174</v>
      </c>
      <c r="B36" s="45"/>
      <c r="C36" s="45">
        <f>IF(C3&lt;=Supuestos!$B$11,Supuestos!$B$50/Supuestos!$B$11,0)</f>
        <v>44000</v>
      </c>
      <c r="D36" s="45">
        <f>IF(D3&lt;=Supuestos!$B$11,Supuestos!$B$50/Supuestos!$B$11,0)</f>
        <v>44000</v>
      </c>
      <c r="E36" s="45">
        <f>IF(E3&lt;=Supuestos!$B$11,Supuestos!$B$50/Supuestos!$B$11,0)</f>
        <v>44000</v>
      </c>
      <c r="F36" s="45">
        <f>IF(F3&lt;=Supuestos!$B$11,Supuestos!$B$50/Supuestos!$B$11,0)</f>
        <v>44000</v>
      </c>
      <c r="G36" s="45">
        <f>IF(G3&lt;=Supuestos!$B$11,Supuestos!$B$50/Supuestos!$B$11,0)</f>
        <v>44000</v>
      </c>
      <c r="H36" s="45">
        <f>SUM(C36:G36)</f>
        <v>220000</v>
      </c>
    </row>
    <row r="37" spans="1:8" x14ac:dyDescent="0.3">
      <c r="A37" s="20" t="s">
        <v>175</v>
      </c>
      <c r="B37" s="46"/>
      <c r="C37" s="46">
        <f>C34-C36</f>
        <v>-126023</v>
      </c>
      <c r="D37" s="46">
        <f>D34-D36</f>
        <v>-1319.390000000014</v>
      </c>
      <c r="E37" s="46">
        <f>E34-E36</f>
        <v>200555.83000000002</v>
      </c>
      <c r="F37" s="46">
        <f>F34-F36</f>
        <v>577134.66</v>
      </c>
      <c r="G37" s="46">
        <f>G34-G36</f>
        <v>1139536.3500000001</v>
      </c>
      <c r="H37" s="46">
        <f>SUM(C37:G37)</f>
        <v>1789884.4500000002</v>
      </c>
    </row>
    <row r="38" spans="1:8" x14ac:dyDescent="0.3">
      <c r="A38" s="6" t="s">
        <v>176</v>
      </c>
      <c r="B38" s="49"/>
      <c r="C38" s="49">
        <f>0</f>
        <v>0</v>
      </c>
      <c r="D38" s="49">
        <f>C40</f>
        <v>126023</v>
      </c>
      <c r="E38" s="49">
        <f>D40</f>
        <v>127342.39000000001</v>
      </c>
      <c r="F38" s="49">
        <f>E40</f>
        <v>0</v>
      </c>
      <c r="G38" s="49">
        <f>F40</f>
        <v>0</v>
      </c>
      <c r="H38" s="49"/>
    </row>
    <row r="39" spans="1:8" x14ac:dyDescent="0.3">
      <c r="A39" s="6" t="s">
        <v>177</v>
      </c>
      <c r="B39" s="49"/>
      <c r="C39" s="49">
        <f>MIN(C38,MAX(C37,0))</f>
        <v>0</v>
      </c>
      <c r="D39" s="49">
        <f>MIN(D38,MAX(D37,0))</f>
        <v>0</v>
      </c>
      <c r="E39" s="49">
        <f>MIN(E38,MAX(E37,0))</f>
        <v>127342.39000000001</v>
      </c>
      <c r="F39" s="49">
        <f>MIN(F38,MAX(F37,0))</f>
        <v>0</v>
      </c>
      <c r="G39" s="49">
        <f>MIN(G38,MAX(G37,0))</f>
        <v>0</v>
      </c>
      <c r="H39" s="49"/>
    </row>
    <row r="40" spans="1:8" x14ac:dyDescent="0.3">
      <c r="A40" s="6" t="s">
        <v>178</v>
      </c>
      <c r="B40" s="49"/>
      <c r="C40" s="49">
        <f>C38+MAX(-C37,0)-C39</f>
        <v>126023</v>
      </c>
      <c r="D40" s="49">
        <f>D38+MAX(-D37,0)-D39</f>
        <v>127342.39000000001</v>
      </c>
      <c r="E40" s="49">
        <f>E38+MAX(-E37,0)-E39</f>
        <v>0</v>
      </c>
      <c r="F40" s="49">
        <f>F38+MAX(-F37,0)-F39</f>
        <v>0</v>
      </c>
      <c r="G40" s="49">
        <f>G38+MAX(-G37,0)-G39</f>
        <v>0</v>
      </c>
      <c r="H40" s="49"/>
    </row>
    <row r="41" spans="1:8" x14ac:dyDescent="0.3">
      <c r="A41" s="6" t="s">
        <v>179</v>
      </c>
      <c r="B41" s="49"/>
      <c r="C41" s="49">
        <f>MAX(C37,0)-C39</f>
        <v>0</v>
      </c>
      <c r="D41" s="49">
        <f>MAX(D37,0)-D39</f>
        <v>0</v>
      </c>
      <c r="E41" s="49">
        <f>MAX(E37,0)-E39</f>
        <v>73213.440000000002</v>
      </c>
      <c r="F41" s="49">
        <f>MAX(F37,0)-F39</f>
        <v>577134.66</v>
      </c>
      <c r="G41" s="49">
        <f>MAX(G37,0)-G39</f>
        <v>1139536.3500000001</v>
      </c>
      <c r="H41" s="49"/>
    </row>
    <row r="42" spans="1:8" x14ac:dyDescent="0.3">
      <c r="A42" s="6" t="s">
        <v>180</v>
      </c>
      <c r="B42" s="49"/>
      <c r="C42" s="49">
        <f>C41*Supuestos!$B$7</f>
        <v>0</v>
      </c>
      <c r="D42" s="49">
        <f>D41*Supuestos!$B$7</f>
        <v>0</v>
      </c>
      <c r="E42" s="49">
        <f>E41*Supuestos!$B$7</f>
        <v>21964.031999999999</v>
      </c>
      <c r="F42" s="49">
        <f>F41*Supuestos!$B$7</f>
        <v>173140.39800000002</v>
      </c>
      <c r="G42" s="49">
        <f>G41*Supuestos!$B$7</f>
        <v>341860.90500000003</v>
      </c>
      <c r="H42" s="49"/>
    </row>
    <row r="43" spans="1:8" x14ac:dyDescent="0.3">
      <c r="A43" s="6" t="s">
        <v>181</v>
      </c>
      <c r="B43" s="49"/>
      <c r="C43" s="49">
        <f>C26*Supuestos!$B$8</f>
        <v>819</v>
      </c>
      <c r="D43" s="49">
        <f>D26*Supuestos!$B$8</f>
        <v>3057.6</v>
      </c>
      <c r="E43" s="49">
        <f>E26*Supuestos!$B$8</f>
        <v>6579.3</v>
      </c>
      <c r="F43" s="49">
        <f>F26*Supuestos!$B$8</f>
        <v>12339.6</v>
      </c>
      <c r="G43" s="49">
        <f>G26*Supuestos!$B$8</f>
        <v>20884.5</v>
      </c>
      <c r="H43" s="49"/>
    </row>
    <row r="44" spans="1:8" x14ac:dyDescent="0.3">
      <c r="A44" s="8" t="s">
        <v>182</v>
      </c>
      <c r="B44" s="45"/>
      <c r="C44" s="45">
        <f>MAX(C42,C43)</f>
        <v>819</v>
      </c>
      <c r="D44" s="45">
        <f>MAX(D42,D43)</f>
        <v>3057.6</v>
      </c>
      <c r="E44" s="45">
        <f>MAX(E42,E43)</f>
        <v>21964.031999999999</v>
      </c>
      <c r="F44" s="45">
        <f>MAX(F42,F43)</f>
        <v>173140.39800000002</v>
      </c>
      <c r="G44" s="45">
        <f>MAX(G42,G43)</f>
        <v>341860.90500000003</v>
      </c>
      <c r="H44" s="45">
        <f>SUM(C44:G44)</f>
        <v>540841.93500000006</v>
      </c>
    </row>
    <row r="45" spans="1:8" x14ac:dyDescent="0.3">
      <c r="A45" s="20" t="s">
        <v>183</v>
      </c>
      <c r="B45" s="46"/>
      <c r="C45" s="46">
        <f>C37-C44</f>
        <v>-126842</v>
      </c>
      <c r="D45" s="46">
        <f>D37-D44</f>
        <v>-4376.9900000000143</v>
      </c>
      <c r="E45" s="46">
        <f>E37-E44</f>
        <v>178591.79800000001</v>
      </c>
      <c r="F45" s="46">
        <f>F37-F44</f>
        <v>403994.26199999999</v>
      </c>
      <c r="G45" s="46">
        <f>G37-G44</f>
        <v>797675.44500000007</v>
      </c>
      <c r="H45" s="46">
        <f>SUM(C45:G45)</f>
        <v>1249042.5150000001</v>
      </c>
    </row>
    <row r="46" spans="1:8" x14ac:dyDescent="0.3">
      <c r="A46" s="22" t="s">
        <v>184</v>
      </c>
      <c r="B46" s="22"/>
      <c r="C46" s="22"/>
      <c r="D46" s="22"/>
      <c r="E46" s="22"/>
      <c r="F46" s="22"/>
      <c r="G46" s="22"/>
      <c r="H46" s="22"/>
    </row>
    <row r="47" spans="1:8" x14ac:dyDescent="0.3">
      <c r="A47" s="20" t="s">
        <v>185</v>
      </c>
      <c r="B47" s="50">
        <f>-Supuestos!$B$50</f>
        <v>-220000</v>
      </c>
      <c r="C47" s="46">
        <f>C45+C36</f>
        <v>-82842</v>
      </c>
      <c r="D47" s="46">
        <f>D45+D36</f>
        <v>39623.009999999987</v>
      </c>
      <c r="E47" s="46">
        <f>E45+E36</f>
        <v>222591.79800000001</v>
      </c>
      <c r="F47" s="46">
        <f>F45+F36</f>
        <v>447994.26199999999</v>
      </c>
      <c r="G47" s="46">
        <f>G45+G36</f>
        <v>841675.44500000007</v>
      </c>
      <c r="H47" s="46">
        <f>SUM(C47:G47)</f>
        <v>1469042.5150000001</v>
      </c>
    </row>
    <row r="48" spans="1:8" x14ac:dyDescent="0.3">
      <c r="A48" s="8" t="s">
        <v>186</v>
      </c>
      <c r="B48" s="45">
        <f>B47</f>
        <v>-220000</v>
      </c>
      <c r="C48" s="45">
        <f>B48+C47</f>
        <v>-302842</v>
      </c>
      <c r="D48" s="45">
        <f>C48+D47</f>
        <v>-263218.99</v>
      </c>
      <c r="E48" s="45">
        <f>D48+E47</f>
        <v>-40627.191999999981</v>
      </c>
      <c r="F48" s="45">
        <f>E48+F47</f>
        <v>407367.07</v>
      </c>
      <c r="G48" s="45">
        <f>F48+G47</f>
        <v>1249042.5150000001</v>
      </c>
      <c r="H48" s="45"/>
    </row>
    <row r="49" spans="1:8" x14ac:dyDescent="0.3">
      <c r="A49" s="6" t="s">
        <v>187</v>
      </c>
      <c r="B49" s="51">
        <f>1/(1+Supuestos!$B$6)^B3</f>
        <v>1</v>
      </c>
      <c r="C49" s="51">
        <f>1/(1+Supuestos!$B$6)^C3</f>
        <v>0.86956521739130443</v>
      </c>
      <c r="D49" s="51">
        <f>1/(1+Supuestos!$B$6)^D3</f>
        <v>0.7561436672967865</v>
      </c>
      <c r="E49" s="51">
        <f>1/(1+Supuestos!$B$6)^E3</f>
        <v>0.65751623243198831</v>
      </c>
      <c r="F49" s="51">
        <f>1/(1+Supuestos!$B$6)^F3</f>
        <v>0.57175324559303342</v>
      </c>
      <c r="G49" s="51">
        <f>1/(1+Supuestos!$B$6)^G3</f>
        <v>0.49717673529828987</v>
      </c>
      <c r="H49" s="51"/>
    </row>
    <row r="50" spans="1:8" x14ac:dyDescent="0.3">
      <c r="A50" s="8" t="s">
        <v>188</v>
      </c>
      <c r="B50" s="45">
        <f t="shared" ref="B50:G50" si="3">B47*B49</f>
        <v>-220000</v>
      </c>
      <c r="C50" s="45">
        <f t="shared" si="3"/>
        <v>-72036.521739130447</v>
      </c>
      <c r="D50" s="45">
        <f t="shared" si="3"/>
        <v>29960.688090737236</v>
      </c>
      <c r="E50" s="45">
        <f t="shared" si="3"/>
        <v>146357.72039122219</v>
      </c>
      <c r="F50" s="45">
        <f t="shared" si="3"/>
        <v>256142.17330555574</v>
      </c>
      <c r="G50" s="45">
        <f t="shared" si="3"/>
        <v>418461.44992583536</v>
      </c>
      <c r="H50" s="45"/>
    </row>
    <row r="51" spans="1:8" x14ac:dyDescent="0.3">
      <c r="A51" s="8" t="s">
        <v>189</v>
      </c>
      <c r="B51" s="45">
        <f>B50</f>
        <v>-220000</v>
      </c>
      <c r="C51" s="45">
        <f>B51+C50</f>
        <v>-292036.52173913043</v>
      </c>
      <c r="D51" s="45">
        <f>C51+D50</f>
        <v>-262075.83364839319</v>
      </c>
      <c r="E51" s="45">
        <f>D51+E50</f>
        <v>-115718.113257171</v>
      </c>
      <c r="F51" s="45">
        <f>E51+F50</f>
        <v>140424.06004838474</v>
      </c>
      <c r="G51" s="45">
        <f>F51+G50</f>
        <v>558885.50997422007</v>
      </c>
      <c r="H51" s="45"/>
    </row>
    <row r="52" spans="1:8" x14ac:dyDescent="0.3">
      <c r="A52" s="6" t="s">
        <v>190</v>
      </c>
      <c r="B52" s="49"/>
      <c r="C52" s="49">
        <f>C32+C44</f>
        <v>164742</v>
      </c>
      <c r="D52" s="49">
        <f>D32+D44</f>
        <v>266136.99</v>
      </c>
      <c r="E52" s="49">
        <f>E32+E44</f>
        <v>435338.20199999999</v>
      </c>
      <c r="F52" s="49">
        <f>F32+F44</f>
        <v>785965.73800000001</v>
      </c>
      <c r="G52" s="49">
        <f>G32+G44</f>
        <v>1246774.5549999999</v>
      </c>
      <c r="H52" s="49"/>
    </row>
    <row r="53" spans="1:8" x14ac:dyDescent="0.3">
      <c r="A53" s="6" t="s">
        <v>191</v>
      </c>
      <c r="B53" s="52"/>
      <c r="C53" s="52" t="str">
        <f>IF(AND(B48&lt;0,C48&gt;=0),B3+(-B48)/C47,"")</f>
        <v/>
      </c>
      <c r="D53" s="52" t="str">
        <f>IF(AND(C48&lt;0,D48&gt;=0),C3+(-C48)/D47,"")</f>
        <v/>
      </c>
      <c r="E53" s="52" t="str">
        <f>IF(AND(D48&lt;0,E48&gt;=0),D3+(-D48)/E47,"")</f>
        <v/>
      </c>
      <c r="F53" s="52">
        <f>IF(AND(E48&lt;0,F48&gt;=0),E3+(-E48)/F47,"")</f>
        <v>3.0906868579490867</v>
      </c>
      <c r="G53" s="52" t="str">
        <f>IF(AND(F48&lt;0,G48&gt;=0),F3+(-F48)/G47,"")</f>
        <v/>
      </c>
      <c r="H53" s="52"/>
    </row>
    <row r="54" spans="1:8" x14ac:dyDescent="0.3">
      <c r="A54" s="6" t="s">
        <v>192</v>
      </c>
      <c r="B54" s="52"/>
      <c r="C54" s="52" t="str">
        <f>IF(AND(B51&lt;0,C51&gt;=0),B3+(-B51)/C50,"")</f>
        <v/>
      </c>
      <c r="D54" s="52" t="str">
        <f>IF(AND(C51&lt;0,D51&gt;=0),C3+(-C51)/D50,"")</f>
        <v/>
      </c>
      <c r="E54" s="52" t="str">
        <f>IF(AND(D51&lt;0,E51&gt;=0),D3+(-D51)/E50,"")</f>
        <v/>
      </c>
      <c r="F54" s="52">
        <f>IF(AND(E51&lt;0,F51&gt;=0),E3+(-E51)/F50,"")</f>
        <v>3.4517729812463531</v>
      </c>
      <c r="G54" s="52" t="str">
        <f>IF(AND(F51&lt;0,G51&gt;=0),F3+(-F51)/G50,"")</f>
        <v/>
      </c>
      <c r="H54" s="52"/>
    </row>
    <row r="55" spans="1:8" x14ac:dyDescent="0.3">
      <c r="A55" s="22" t="s">
        <v>193</v>
      </c>
      <c r="B55" s="22"/>
      <c r="C55" s="22"/>
      <c r="D55" s="22"/>
      <c r="E55" s="22"/>
      <c r="F55" s="22"/>
      <c r="G55" s="22"/>
      <c r="H55" s="22"/>
    </row>
    <row r="56" spans="1:8" x14ac:dyDescent="0.3">
      <c r="A56" s="15" t="s">
        <v>2</v>
      </c>
      <c r="B56" s="53">
        <f>SUM(B50:G50)</f>
        <v>558885.50997422007</v>
      </c>
      <c r="C56" s="54"/>
      <c r="D56" s="54"/>
      <c r="E56" s="54"/>
      <c r="F56" s="54"/>
      <c r="G56" s="54"/>
      <c r="H56" s="54"/>
    </row>
    <row r="57" spans="1:8" x14ac:dyDescent="0.3">
      <c r="A57" s="15" t="s">
        <v>3</v>
      </c>
      <c r="B57" s="55">
        <f>IFERROR(IRR(B47:G47),"n/d")</f>
        <v>0.5107954046640768</v>
      </c>
      <c r="C57" s="56"/>
      <c r="D57" s="56"/>
      <c r="E57" s="56"/>
      <c r="F57" s="56"/>
      <c r="G57" s="56"/>
      <c r="H57" s="56"/>
    </row>
    <row r="58" spans="1:8" x14ac:dyDescent="0.3">
      <c r="A58" s="15" t="s">
        <v>194</v>
      </c>
      <c r="B58" s="57">
        <f>IF(COUNT(C53:G53)=0,"No se recupera",MIN(C53:G53))</f>
        <v>3.0906868579490867</v>
      </c>
      <c r="C58" s="58"/>
      <c r="D58" s="58"/>
      <c r="E58" s="58"/>
      <c r="F58" s="58"/>
      <c r="G58" s="58"/>
      <c r="H58" s="58"/>
    </row>
    <row r="59" spans="1:8" x14ac:dyDescent="0.3">
      <c r="A59" s="15" t="s">
        <v>195</v>
      </c>
      <c r="B59" s="57">
        <f>IF(COUNT(C54:G54)=0,"No se recupera",MIN(C54:G54))</f>
        <v>3.4517729812463531</v>
      </c>
      <c r="C59" s="58"/>
      <c r="D59" s="58"/>
      <c r="E59" s="58"/>
      <c r="F59" s="58"/>
      <c r="G59" s="58"/>
      <c r="H59" s="58"/>
    </row>
    <row r="60" spans="1:8" x14ac:dyDescent="0.3">
      <c r="A60" s="15" t="s">
        <v>196</v>
      </c>
      <c r="B60" s="57">
        <f>IFERROR(NPV(Supuestos!$B$6,C26:G26)/(Supuestos!$B$50+NPV(Supuestos!$B$6,C52:G52)),"n/d")</f>
        <v>1.2910893244968962</v>
      </c>
      <c r="C60" s="58"/>
      <c r="D60" s="58"/>
      <c r="E60" s="58"/>
      <c r="F60" s="58"/>
      <c r="G60" s="58"/>
      <c r="H60" s="58"/>
    </row>
    <row r="61" spans="1:8" x14ac:dyDescent="0.3">
      <c r="A61" s="15" t="s">
        <v>197</v>
      </c>
      <c r="B61" s="57">
        <f>IFERROR(SUMIF(C50:G50,"&gt;0")/(Supuestos!$B$50-SUMIF(C50:G50,"&lt;0")),"n/d")</f>
        <v>2.9137521110234967</v>
      </c>
      <c r="C61" s="58"/>
      <c r="D61" s="58"/>
      <c r="E61" s="58"/>
      <c r="F61" s="58"/>
      <c r="G61" s="58"/>
      <c r="H61" s="58"/>
    </row>
    <row r="62" spans="1:8" x14ac:dyDescent="0.3">
      <c r="A62" s="15" t="s">
        <v>198</v>
      </c>
      <c r="B62" s="57">
        <f>1+B56/Supuestos!$B$50</f>
        <v>3.5403886817010002</v>
      </c>
      <c r="C62" s="58"/>
      <c r="D62" s="58"/>
      <c r="E62" s="58"/>
      <c r="F62" s="58"/>
      <c r="G62" s="58"/>
      <c r="H62" s="58"/>
    </row>
    <row r="63" spans="1:8" x14ac:dyDescent="0.3">
      <c r="A63" s="15" t="s">
        <v>199</v>
      </c>
      <c r="B63" s="59">
        <f>(SUM(C47:G47)-Supuestos!$B$50)/Supuestos!$B$50</f>
        <v>5.6774659772727283</v>
      </c>
      <c r="C63" s="60"/>
      <c r="D63" s="60"/>
      <c r="E63" s="60"/>
      <c r="F63" s="60"/>
      <c r="G63" s="60"/>
      <c r="H63" s="60"/>
    </row>
    <row r="64" spans="1:8" x14ac:dyDescent="0.3">
      <c r="A64" s="15" t="s">
        <v>200</v>
      </c>
      <c r="B64" s="53">
        <f>-MIN(B48:G48)</f>
        <v>302842</v>
      </c>
      <c r="C64" s="54"/>
      <c r="D64" s="54"/>
      <c r="E64" s="54"/>
      <c r="F64" s="54"/>
      <c r="G64" s="54"/>
      <c r="H64" s="54"/>
    </row>
    <row r="65" spans="1:8" x14ac:dyDescent="0.3">
      <c r="A65" s="15" t="s">
        <v>201</v>
      </c>
      <c r="B65" s="53">
        <f>CEILING(B64*(1+Supuestos!$B$12),50000)</f>
        <v>350000</v>
      </c>
      <c r="C65" s="54"/>
      <c r="D65" s="54"/>
      <c r="E65" s="54"/>
      <c r="F65" s="54"/>
      <c r="G65" s="54"/>
      <c r="H65" s="54"/>
    </row>
  </sheetData>
  <pageMargins left="0.75" right="0.75" top="1" bottom="1" header="0.5" footer="0.5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8A8A"/>
    <pageSetUpPr fitToPage="1"/>
  </sheetPr>
  <dimension ref="A1:H31"/>
  <sheetViews>
    <sheetView showGridLines="0" workbookViewId="0"/>
  </sheetViews>
  <sheetFormatPr baseColWidth="10" defaultColWidth="8.88671875" defaultRowHeight="14.4" x14ac:dyDescent="0.3"/>
  <cols>
    <col min="1" max="1" width="46" customWidth="1"/>
    <col min="2" max="2" width="16" customWidth="1"/>
    <col min="3" max="3" width="20" customWidth="1"/>
    <col min="4" max="8" width="16" customWidth="1"/>
  </cols>
  <sheetData>
    <row r="1" spans="1:8" ht="30" customHeight="1" x14ac:dyDescent="0.3">
      <c r="A1" s="5" t="s">
        <v>202</v>
      </c>
      <c r="B1" s="2"/>
      <c r="C1" s="2"/>
      <c r="D1" s="2"/>
      <c r="E1" s="2"/>
      <c r="F1" s="2"/>
      <c r="G1" s="2"/>
      <c r="H1" s="2"/>
    </row>
    <row r="2" spans="1:8" x14ac:dyDescent="0.3">
      <c r="A2" s="6" t="s">
        <v>203</v>
      </c>
    </row>
    <row r="4" spans="1:8" x14ac:dyDescent="0.3">
      <c r="A4" s="13" t="s">
        <v>204</v>
      </c>
      <c r="B4" s="14" t="s">
        <v>205</v>
      </c>
      <c r="C4" s="14" t="s">
        <v>206</v>
      </c>
      <c r="D4" s="107" t="s">
        <v>207</v>
      </c>
      <c r="E4" s="88"/>
      <c r="F4" s="88"/>
      <c r="G4" s="88"/>
      <c r="H4" s="88"/>
    </row>
    <row r="5" spans="1:8" x14ac:dyDescent="0.3">
      <c r="A5" s="8" t="s">
        <v>208</v>
      </c>
      <c r="B5" s="61">
        <f>Supuestos!B6</f>
        <v>0.15</v>
      </c>
      <c r="C5" s="62" t="s">
        <v>209</v>
      </c>
      <c r="D5" s="106" t="str">
        <f>"Rendimiento mínimo exigido por los socios"</f>
        <v>Rendimiento mínimo exigido por los socios</v>
      </c>
      <c r="E5" s="88"/>
      <c r="F5" s="88"/>
      <c r="G5" s="88"/>
      <c r="H5" s="88"/>
    </row>
    <row r="6" spans="1:8" x14ac:dyDescent="0.3">
      <c r="A6" s="15" t="s">
        <v>210</v>
      </c>
      <c r="B6" s="63">
        <f>Modelo!$B$56</f>
        <v>558885.50997422007</v>
      </c>
      <c r="C6" s="62" t="s">
        <v>211</v>
      </c>
      <c r="D6" s="106" t="str">
        <f>IF(B6&gt;0,"Crea valor: queda "&amp;TEXT(B6,"#,##0")&amp;" por encima del rendimiento exigido","No alcanza el rendimiento exigido")</f>
        <v>Crea valor: queda 558,886 por encima del rendimiento exigido</v>
      </c>
      <c r="E6" s="88"/>
      <c r="F6" s="88"/>
      <c r="G6" s="88"/>
      <c r="H6" s="88"/>
    </row>
    <row r="7" spans="1:8" x14ac:dyDescent="0.3">
      <c r="A7" s="15" t="s">
        <v>212</v>
      </c>
      <c r="B7" s="61">
        <f>Modelo!$B$57</f>
        <v>0.5107954046640768</v>
      </c>
      <c r="C7" s="62" t="s">
        <v>213</v>
      </c>
      <c r="D7" s="106" t="str">
        <f>IF(ISNUMBER(B7),IF(B7&gt;B5,"Supera la TMAR por "&amp;TEXT(B7-B5,"0.0%")&amp;" puntos","Queda por debajo de la TMAR"),"No definida con estos flujos")</f>
        <v>Supera la TMAR por 36.1% puntos</v>
      </c>
      <c r="E7" s="88"/>
      <c r="F7" s="88"/>
      <c r="G7" s="88"/>
      <c r="H7" s="88"/>
    </row>
    <row r="8" spans="1:8" x14ac:dyDescent="0.3">
      <c r="A8" s="15" t="s">
        <v>214</v>
      </c>
      <c r="B8" s="64">
        <f>Modelo!$B$60</f>
        <v>1.2910893244968962</v>
      </c>
      <c r="C8" s="62" t="s">
        <v>215</v>
      </c>
      <c r="D8" s="106" t="str">
        <f>IF(ISNUMBER(B8),IF(B8&gt;1,"Por cada C$1 de egreso genera C$"&amp;TEXT(B8,"0.00")&amp;" de ingreso (valor presente)","Los egresos superan a los ingresos"),"n/d")</f>
        <v>Por cada C$1 de egreso genera C$1.29 de ingreso (valor presente)</v>
      </c>
      <c r="E8" s="88"/>
      <c r="F8" s="88"/>
      <c r="G8" s="88"/>
      <c r="H8" s="88"/>
    </row>
    <row r="9" spans="1:8" x14ac:dyDescent="0.3">
      <c r="A9" s="8" t="s">
        <v>197</v>
      </c>
      <c r="B9" s="64">
        <f>Modelo!$B$61</f>
        <v>2.9137521110234967</v>
      </c>
      <c r="C9" s="62" t="s">
        <v>215</v>
      </c>
      <c r="D9" s="106" t="str">
        <f>IF(ISNUMBER(B9),IF(B9&gt;1,"Flujos positivos cubren inversión y flujos negativos","No cubre la inversión"),"n/d")</f>
        <v>Flujos positivos cubren inversión y flujos negativos</v>
      </c>
      <c r="E9" s="88"/>
      <c r="F9" s="88"/>
      <c r="G9" s="88"/>
      <c r="H9" s="88"/>
    </row>
    <row r="10" spans="1:8" x14ac:dyDescent="0.3">
      <c r="A10" s="8" t="s">
        <v>216</v>
      </c>
      <c r="B10" s="64">
        <f>Modelo!$B$62</f>
        <v>3.5403886817010002</v>
      </c>
      <c r="C10" s="62" t="s">
        <v>215</v>
      </c>
      <c r="D10" s="106" t="str">
        <f>IF(B10&gt;1,"Cada C$1 invertido devuelve C$"&amp;TEXT(B10,"0.00")&amp;" en valor presente","Devuelve menos de lo invertido")</f>
        <v>Cada C$1 invertido devuelve C$3.54 en valor presente</v>
      </c>
      <c r="E10" s="88"/>
      <c r="F10" s="88"/>
      <c r="G10" s="88"/>
      <c r="H10" s="88"/>
    </row>
    <row r="11" spans="1:8" x14ac:dyDescent="0.3">
      <c r="A11" s="15" t="s">
        <v>217</v>
      </c>
      <c r="B11" s="64">
        <f>Modelo!$B$58</f>
        <v>3.0906868579490867</v>
      </c>
      <c r="C11" s="62" t="s">
        <v>218</v>
      </c>
      <c r="D11" s="106" t="str">
        <f>IF(ISNUMBER(B11),"Se recupera en "&amp;INT(B11)&amp;" años y "&amp;ROUND((B11-INT(B11))*12,0)&amp;" meses","No se recupera en 5 años")</f>
        <v>Se recupera en 3 años y 1 meses</v>
      </c>
      <c r="E11" s="88"/>
      <c r="F11" s="88"/>
      <c r="G11" s="88"/>
      <c r="H11" s="88"/>
    </row>
    <row r="12" spans="1:8" x14ac:dyDescent="0.3">
      <c r="A12" s="8" t="s">
        <v>195</v>
      </c>
      <c r="B12" s="64">
        <f>Modelo!$B$59</f>
        <v>3.4517729812463531</v>
      </c>
      <c r="C12" s="62" t="s">
        <v>218</v>
      </c>
      <c r="D12" s="106" t="str">
        <f>IF(ISNUMBER(B12),"Con flujos descontados: "&amp;INT(B12)&amp;" años y "&amp;ROUND((B12-INT(B12))*12,0)&amp;" meses","No se recupera en 5 años")</f>
        <v>Con flujos descontados: 3 años y 5 meses</v>
      </c>
      <c r="E12" s="88"/>
      <c r="F12" s="88"/>
      <c r="G12" s="88"/>
      <c r="H12" s="88"/>
    </row>
    <row r="13" spans="1:8" x14ac:dyDescent="0.3">
      <c r="A13" s="8" t="s">
        <v>199</v>
      </c>
      <c r="B13" s="65">
        <f>Modelo!$B$63</f>
        <v>5.6774659772727283</v>
      </c>
      <c r="C13" s="62" t="s">
        <v>209</v>
      </c>
      <c r="D13" s="106" t="str">
        <f>"(Flujo libre acumulado - inversión) / inversión, sin descontar"</f>
        <v>(Flujo libre acumulado - inversión) / inversión, sin descontar</v>
      </c>
      <c r="E13" s="88"/>
      <c r="F13" s="88"/>
      <c r="G13" s="88"/>
      <c r="H13" s="88"/>
    </row>
    <row r="14" spans="1:8" x14ac:dyDescent="0.3">
      <c r="A14" s="8" t="s">
        <v>200</v>
      </c>
      <c r="B14" s="63">
        <f>Modelo!$B$64</f>
        <v>302842</v>
      </c>
      <c r="C14" s="62" t="s">
        <v>209</v>
      </c>
      <c r="D14" s="106" t="str">
        <f>"Punto más bajo del flujo acumulado"</f>
        <v>Punto más bajo del flujo acumulado</v>
      </c>
      <c r="E14" s="88"/>
      <c r="F14" s="88"/>
      <c r="G14" s="88"/>
      <c r="H14" s="88"/>
    </row>
    <row r="15" spans="1:8" x14ac:dyDescent="0.3">
      <c r="A15" s="8" t="s">
        <v>201</v>
      </c>
      <c r="B15" s="63">
        <f>Modelo!$B$65</f>
        <v>350000</v>
      </c>
      <c r="C15" s="62" t="s">
        <v>209</v>
      </c>
      <c r="D15" s="106" t="str">
        <f>"Necesidad máxima más colchón, redondeado a C$50,000"</f>
        <v>Necesidad máxima más colchón, redondeado a C$50,000</v>
      </c>
      <c r="E15" s="88"/>
      <c r="F15" s="88"/>
      <c r="G15" s="88"/>
      <c r="H15" s="88"/>
    </row>
    <row r="18" spans="1:8" x14ac:dyDescent="0.3">
      <c r="A18" s="7" t="s">
        <v>219</v>
      </c>
      <c r="B18" s="7"/>
      <c r="C18" s="7"/>
      <c r="D18" s="7"/>
      <c r="E18" s="7"/>
      <c r="F18" s="7"/>
      <c r="G18" s="7"/>
      <c r="H18" s="7"/>
    </row>
    <row r="19" spans="1:8" x14ac:dyDescent="0.3">
      <c r="A19" s="13" t="s">
        <v>62</v>
      </c>
      <c r="B19" s="14" t="s">
        <v>142</v>
      </c>
      <c r="C19" s="14" t="s">
        <v>53</v>
      </c>
      <c r="D19" s="14" t="s">
        <v>54</v>
      </c>
      <c r="E19" s="14" t="s">
        <v>55</v>
      </c>
      <c r="F19" s="14" t="s">
        <v>56</v>
      </c>
      <c r="G19" s="14" t="s">
        <v>57</v>
      </c>
    </row>
    <row r="20" spans="1:8" x14ac:dyDescent="0.3">
      <c r="A20" s="8" t="s">
        <v>220</v>
      </c>
      <c r="B20" s="66">
        <f>Modelo!B47</f>
        <v>-220000</v>
      </c>
      <c r="C20" s="66">
        <f>Modelo!C47</f>
        <v>-82842</v>
      </c>
      <c r="D20" s="66">
        <f>Modelo!D47</f>
        <v>39623.009999999987</v>
      </c>
      <c r="E20" s="66">
        <f>Modelo!E47</f>
        <v>222591.79800000001</v>
      </c>
      <c r="F20" s="66">
        <f>Modelo!F47</f>
        <v>447994.26199999999</v>
      </c>
      <c r="G20" s="66">
        <f>Modelo!G47</f>
        <v>841675.44500000007</v>
      </c>
    </row>
    <row r="21" spans="1:8" x14ac:dyDescent="0.3">
      <c r="A21" s="8" t="s">
        <v>221</v>
      </c>
      <c r="B21" s="67">
        <f>Modelo!B49</f>
        <v>1</v>
      </c>
      <c r="C21" s="67">
        <f>Modelo!C49</f>
        <v>0.86956521739130443</v>
      </c>
      <c r="D21" s="67">
        <f>Modelo!D49</f>
        <v>0.7561436672967865</v>
      </c>
      <c r="E21" s="67">
        <f>Modelo!E49</f>
        <v>0.65751623243198831</v>
      </c>
      <c r="F21" s="67">
        <f>Modelo!F49</f>
        <v>0.57175324559303342</v>
      </c>
      <c r="G21" s="67">
        <f>Modelo!G49</f>
        <v>0.49717673529828987</v>
      </c>
    </row>
    <row r="22" spans="1:8" x14ac:dyDescent="0.3">
      <c r="A22" s="8" t="s">
        <v>222</v>
      </c>
      <c r="B22" s="66">
        <f>Modelo!B50</f>
        <v>-220000</v>
      </c>
      <c r="C22" s="66">
        <f>Modelo!C50</f>
        <v>-72036.521739130447</v>
      </c>
      <c r="D22" s="66">
        <f>Modelo!D50</f>
        <v>29960.688090737236</v>
      </c>
      <c r="E22" s="66">
        <f>Modelo!E50</f>
        <v>146357.72039122219</v>
      </c>
      <c r="F22" s="66">
        <f>Modelo!F50</f>
        <v>256142.17330555574</v>
      </c>
      <c r="G22" s="66">
        <f>Modelo!G50</f>
        <v>418461.44992583536</v>
      </c>
    </row>
    <row r="23" spans="1:8" x14ac:dyDescent="0.3">
      <c r="A23" s="8" t="s">
        <v>223</v>
      </c>
      <c r="B23" s="66">
        <f>Modelo!B48</f>
        <v>-220000</v>
      </c>
      <c r="C23" s="66">
        <f>Modelo!C48</f>
        <v>-302842</v>
      </c>
      <c r="D23" s="66">
        <f>Modelo!D48</f>
        <v>-263218.99</v>
      </c>
      <c r="E23" s="66">
        <f>Modelo!E48</f>
        <v>-40627.191999999981</v>
      </c>
      <c r="F23" s="66">
        <f>Modelo!F48</f>
        <v>407367.07</v>
      </c>
      <c r="G23" s="66">
        <f>Modelo!G48</f>
        <v>1249042.5150000001</v>
      </c>
    </row>
    <row r="24" spans="1:8" x14ac:dyDescent="0.3">
      <c r="A24" s="8" t="s">
        <v>224</v>
      </c>
      <c r="B24" s="66">
        <f>Modelo!B51</f>
        <v>-220000</v>
      </c>
      <c r="C24" s="66">
        <f>Modelo!C51</f>
        <v>-292036.52173913043</v>
      </c>
      <c r="D24" s="66">
        <f>Modelo!D51</f>
        <v>-262075.83364839319</v>
      </c>
      <c r="E24" s="66">
        <f>Modelo!E51</f>
        <v>-115718.113257171</v>
      </c>
      <c r="F24" s="66">
        <f>Modelo!F51</f>
        <v>140424.06004838474</v>
      </c>
      <c r="G24" s="66">
        <f>Modelo!G51</f>
        <v>558885.50997422007</v>
      </c>
    </row>
    <row r="25" spans="1:8" x14ac:dyDescent="0.3">
      <c r="A25" s="20" t="s">
        <v>225</v>
      </c>
      <c r="B25" s="30">
        <f>SUM(B22:G22)</f>
        <v>558885.50997422007</v>
      </c>
    </row>
    <row r="28" spans="1:8" x14ac:dyDescent="0.3">
      <c r="A28" s="7" t="s">
        <v>226</v>
      </c>
      <c r="B28" s="7"/>
      <c r="C28" s="7"/>
      <c r="D28" s="7"/>
      <c r="E28" s="7"/>
      <c r="F28" s="7"/>
      <c r="G28" s="7"/>
      <c r="H28" s="7"/>
    </row>
    <row r="29" spans="1:8" x14ac:dyDescent="0.3">
      <c r="A29" s="13" t="s">
        <v>227</v>
      </c>
      <c r="B29" s="68">
        <v>0.1</v>
      </c>
      <c r="C29" s="68">
        <v>0.12</v>
      </c>
      <c r="D29" s="68">
        <v>0.15</v>
      </c>
      <c r="E29" s="68">
        <v>0.18</v>
      </c>
      <c r="F29" s="68">
        <v>0.2</v>
      </c>
      <c r="G29" s="68">
        <v>0.25</v>
      </c>
      <c r="H29" s="68">
        <v>0.3</v>
      </c>
    </row>
    <row r="30" spans="1:8" x14ac:dyDescent="0.3">
      <c r="A30" s="8" t="s">
        <v>228</v>
      </c>
      <c r="B30" s="25">
        <f>SUMPRODUCT(Modelo!$B$47:$G$47/(1+B29)^Modelo!$B$3:$G$3)</f>
        <v>733272.23233013123</v>
      </c>
      <c r="C30" s="25">
        <f>SUMPRODUCT(Modelo!$B$47:$G$47/(1+C29)^Modelo!$B$3:$G$3)</f>
        <v>658355.29850977741</v>
      </c>
      <c r="D30" s="25">
        <f>SUMPRODUCT(Modelo!$B$47:$G$47/(1+D29)^Modelo!$B$3:$G$3)</f>
        <v>558885.50997422007</v>
      </c>
      <c r="E30" s="25">
        <f>SUMPRODUCT(Modelo!$B$47:$G$47/(1+E29)^Modelo!$B$3:$G$3)</f>
        <v>472702.33492039295</v>
      </c>
      <c r="F30" s="25">
        <f>SUMPRODUCT(Modelo!$B$47:$G$47/(1+F29)^Modelo!$B$3:$G$3)</f>
        <v>421592.77689364715</v>
      </c>
      <c r="G30" s="25">
        <f>SUMPRODUCT(Modelo!$B$47:$G$47/(1+G29)^Modelo!$B$3:$G$3)</f>
        <v>312350.78650880005</v>
      </c>
      <c r="H30" s="25">
        <f>SUMPRODUCT(Modelo!$B$47:$G$47/(1+H29)^Modelo!$B$3:$G$3)</f>
        <v>224580.11354644434</v>
      </c>
    </row>
    <row r="31" spans="1:8" x14ac:dyDescent="0.3">
      <c r="A31" s="6" t="s">
        <v>229</v>
      </c>
    </row>
  </sheetData>
  <mergeCells count="12">
    <mergeCell ref="D15:H15"/>
    <mergeCell ref="D10:H10"/>
    <mergeCell ref="D11:H11"/>
    <mergeCell ref="D13:H13"/>
    <mergeCell ref="D5:H5"/>
    <mergeCell ref="D14:H14"/>
    <mergeCell ref="D4:H4"/>
    <mergeCell ref="D9:H9"/>
    <mergeCell ref="D12:H12"/>
    <mergeCell ref="D7:H7"/>
    <mergeCell ref="D8:H8"/>
    <mergeCell ref="D6:H6"/>
  </mergeCells>
  <conditionalFormatting sqref="B6">
    <cfRule type="cellIs" dxfId="18" priority="1" operator="greaterThan">
      <formula>0</formula>
    </cfRule>
    <cfRule type="cellIs" dxfId="17" priority="2" operator="lessThanOrEqual">
      <formula>0</formula>
    </cfRule>
  </conditionalFormatting>
  <conditionalFormatting sqref="B7">
    <cfRule type="expression" dxfId="16" priority="3">
      <formula>AND(ISNUMBER($B$7),$B$7&gt;$B$5)</formula>
    </cfRule>
    <cfRule type="expression" dxfId="15" priority="4">
      <formula>NOT(AND(ISNUMBER($B$7),$B$7&gt;$B$5))</formula>
    </cfRule>
  </conditionalFormatting>
  <conditionalFormatting sqref="B8">
    <cfRule type="expression" dxfId="14" priority="5">
      <formula>AND(ISNUMBER($B$8),$B$8&gt;1)</formula>
    </cfRule>
    <cfRule type="expression" dxfId="13" priority="6">
      <formula>NOT(AND(ISNUMBER($B$8),$B$8&gt;1))</formula>
    </cfRule>
  </conditionalFormatting>
  <conditionalFormatting sqref="B9">
    <cfRule type="expression" dxfId="12" priority="7">
      <formula>AND(ISNUMBER($B$9),$B$9&gt;1)</formula>
    </cfRule>
    <cfRule type="expression" dxfId="11" priority="8">
      <formula>NOT(AND(ISNUMBER($B$9),$B$9&gt;1))</formula>
    </cfRule>
  </conditionalFormatting>
  <conditionalFormatting sqref="B10">
    <cfRule type="expression" dxfId="10" priority="9">
      <formula>AND(ISNUMBER($B$10),$B$10&gt;1)</formula>
    </cfRule>
    <cfRule type="expression" dxfId="9" priority="10">
      <formula>NOT(AND(ISNUMBER($B$10),$B$10&gt;1))</formula>
    </cfRule>
  </conditionalFormatting>
  <conditionalFormatting sqref="B11">
    <cfRule type="expression" dxfId="8" priority="11">
      <formula>AND(ISNUMBER($B$11),$B$11&lt;5)</formula>
    </cfRule>
    <cfRule type="expression" dxfId="7" priority="12">
      <formula>NOT(AND(ISNUMBER($B$11),$B$11&lt;5))</formula>
    </cfRule>
  </conditionalFormatting>
  <conditionalFormatting sqref="B12">
    <cfRule type="expression" dxfId="6" priority="13">
      <formula>AND(ISNUMBER($B$12),$B$12&lt;5)</formula>
    </cfRule>
    <cfRule type="expression" dxfId="5" priority="14">
      <formula>NOT(AND(ISNUMBER($B$12),$B$12&lt;5))</formula>
    </cfRule>
  </conditionalFormatting>
  <conditionalFormatting sqref="B30:H30">
    <cfRule type="cellIs" dxfId="4" priority="15" operator="lessThan">
      <formula>0</formula>
    </cfRule>
  </conditionalFormatting>
  <pageMargins left="0.75" right="0.75" top="1" bottom="1" header="0.5" footer="0.5"/>
  <pageSetup fitToHeight="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8A8A"/>
    <pageSetUpPr fitToPage="1"/>
  </sheetPr>
  <dimension ref="A1:H48"/>
  <sheetViews>
    <sheetView showGridLines="0" workbookViewId="0"/>
  </sheetViews>
  <sheetFormatPr baseColWidth="10" defaultColWidth="8.88671875" defaultRowHeight="14.4" x14ac:dyDescent="0.3"/>
  <cols>
    <col min="1" max="1" width="58" customWidth="1"/>
    <col min="2" max="2" width="16" customWidth="1"/>
    <col min="3" max="8" width="15" customWidth="1"/>
  </cols>
  <sheetData>
    <row r="1" spans="1:8" ht="30" customHeight="1" x14ac:dyDescent="0.3">
      <c r="A1" s="5" t="s">
        <v>230</v>
      </c>
      <c r="B1" s="2"/>
      <c r="C1" s="2"/>
      <c r="D1" s="2"/>
      <c r="E1" s="2"/>
      <c r="F1" s="2"/>
      <c r="G1" s="2"/>
      <c r="H1" s="2"/>
    </row>
    <row r="2" spans="1:8" x14ac:dyDescent="0.3">
      <c r="A2" s="6" t="s">
        <v>231</v>
      </c>
    </row>
    <row r="4" spans="1:8" x14ac:dyDescent="0.3">
      <c r="A4" s="13" t="s">
        <v>62</v>
      </c>
      <c r="B4" s="14" t="s">
        <v>232</v>
      </c>
      <c r="C4" s="14" t="s">
        <v>53</v>
      </c>
      <c r="D4" s="14" t="s">
        <v>54</v>
      </c>
      <c r="E4" s="14" t="s">
        <v>55</v>
      </c>
      <c r="F4" s="14" t="s">
        <v>56</v>
      </c>
      <c r="G4" s="14" t="s">
        <v>57</v>
      </c>
    </row>
    <row r="5" spans="1:8" x14ac:dyDescent="0.3">
      <c r="A5" s="8" t="s">
        <v>233</v>
      </c>
      <c r="B5" s="62" t="s">
        <v>234</v>
      </c>
      <c r="C5" s="66">
        <f>Modelo!C31</f>
        <v>150000</v>
      </c>
      <c r="D5" s="66">
        <f>Modelo!D31</f>
        <v>210000</v>
      </c>
      <c r="E5" s="66">
        <f>Modelo!E31</f>
        <v>300000</v>
      </c>
      <c r="F5" s="66">
        <f>Modelo!F31</f>
        <v>400000</v>
      </c>
      <c r="G5" s="66">
        <f>Modelo!G31</f>
        <v>550000</v>
      </c>
    </row>
    <row r="6" spans="1:8" x14ac:dyDescent="0.3">
      <c r="A6" s="8" t="s">
        <v>235</v>
      </c>
      <c r="B6" s="62" t="s">
        <v>236</v>
      </c>
      <c r="C6" s="69">
        <f>IFERROR(Modelo!C5/Modelo!C8,0)</f>
        <v>0.5</v>
      </c>
      <c r="D6" s="69">
        <f>IFERROR(Modelo!D5/Modelo!D8,0)</f>
        <v>0.4</v>
      </c>
      <c r="E6" s="69">
        <f>IFERROR(Modelo!E5/Modelo!E8,0)</f>
        <v>0.4</v>
      </c>
      <c r="F6" s="69">
        <f>IFERROR(Modelo!F5/Modelo!F8,0)</f>
        <v>0.3888888888888889</v>
      </c>
      <c r="G6" s="69">
        <f>IFERROR(Modelo!G5/Modelo!G8,0)</f>
        <v>0.3666666666666667</v>
      </c>
    </row>
    <row r="7" spans="1:8" x14ac:dyDescent="0.3">
      <c r="A7" s="8" t="s">
        <v>237</v>
      </c>
      <c r="B7" s="62" t="s">
        <v>236</v>
      </c>
      <c r="C7" s="69">
        <f>IFERROR(Modelo!C6/Modelo!C8,0)</f>
        <v>0.5</v>
      </c>
      <c r="D7" s="69">
        <f>IFERROR(Modelo!D6/Modelo!D8,0)</f>
        <v>0.4</v>
      </c>
      <c r="E7" s="69">
        <f>IFERROR(Modelo!E6/Modelo!E8,0)</f>
        <v>0.4</v>
      </c>
      <c r="F7" s="69">
        <f>IFERROR(Modelo!F6/Modelo!F8,0)</f>
        <v>0.3888888888888889</v>
      </c>
      <c r="G7" s="69">
        <f>IFERROR(Modelo!G6/Modelo!G8,0)</f>
        <v>0.4333333333333334</v>
      </c>
    </row>
    <row r="8" spans="1:8" x14ac:dyDescent="0.3">
      <c r="A8" s="8" t="s">
        <v>238</v>
      </c>
      <c r="B8" s="62" t="s">
        <v>236</v>
      </c>
      <c r="C8" s="69">
        <f>IFERROR(Modelo!C7/Modelo!C8,0)</f>
        <v>0</v>
      </c>
      <c r="D8" s="69">
        <f>IFERROR(Modelo!D7/Modelo!D8,0)</f>
        <v>0.2</v>
      </c>
      <c r="E8" s="69">
        <f>IFERROR(Modelo!E7/Modelo!E8,0)</f>
        <v>0.2</v>
      </c>
      <c r="F8" s="69">
        <f>IFERROR(Modelo!F7/Modelo!F8,0)</f>
        <v>0.22222222222222224</v>
      </c>
      <c r="G8" s="69">
        <f>IFERROR(Modelo!G7/Modelo!G8,0)</f>
        <v>0.2</v>
      </c>
    </row>
    <row r="9" spans="1:8" x14ac:dyDescent="0.3">
      <c r="A9" s="8" t="s">
        <v>239</v>
      </c>
      <c r="B9" s="62" t="s">
        <v>234</v>
      </c>
      <c r="C9" s="70">
        <f>C6*Supuestos!$B$18*Supuestos!$C$54*12+C7*Supuestos!$B$19*Supuestos!$C$54*12+C8*Supuestos!$B$20*Supuestos!$C$54*12</f>
        <v>47250</v>
      </c>
      <c r="D9" s="70">
        <f>D6*Supuestos!$B$18*Supuestos!$C$54*12+D7*Supuestos!$B$19*Supuestos!$C$54*12+D8*Supuestos!$B$20*Supuestos!$C$54*12</f>
        <v>60480</v>
      </c>
      <c r="E9" s="70">
        <f>E6*Supuestos!$B$18*Supuestos!$C$54*12+E7*Supuestos!$B$19*Supuestos!$C$54*12+E8*Supuestos!$B$20*Supuestos!$C$54*12</f>
        <v>60480</v>
      </c>
      <c r="F9" s="70">
        <f>F6*Supuestos!$B$18*Supuestos!$C$54*12+F7*Supuestos!$B$19*Supuestos!$C$54*12+F8*Supuestos!$B$20*Supuestos!$C$54*12</f>
        <v>61950.000000000015</v>
      </c>
      <c r="G9" s="70">
        <f>G6*Supuestos!$B$18*Supuestos!$C$54*12+G7*Supuestos!$B$19*Supuestos!$C$54*12+G8*Supuestos!$B$20*Supuestos!$C$54*12</f>
        <v>61530.000000000007</v>
      </c>
    </row>
    <row r="10" spans="1:8" x14ac:dyDescent="0.3">
      <c r="A10" s="8" t="s">
        <v>240</v>
      </c>
      <c r="B10" s="62" t="s">
        <v>234</v>
      </c>
      <c r="C10" s="70">
        <f>C6*Supuestos!$B$18*Supuestos!$C$54*12*(1-Supuestos!$D$18*Supuestos!$D$54)+C7*Supuestos!$B$19*Supuestos!$C$54*12*(1-Supuestos!$D$19*Supuestos!$D$54)+C8*Supuestos!$B$20*Supuestos!$C$54*12*(1-Supuestos!$D$20*Supuestos!$D$54)</f>
        <v>41265</v>
      </c>
      <c r="D10" s="70">
        <f>D6*Supuestos!$B$18*Supuestos!$C$54*12*(1-Supuestos!$D$18*Supuestos!$D$54)+D7*Supuestos!$B$19*Supuestos!$C$54*12*(1-Supuestos!$D$19*Supuestos!$D$54)+D8*Supuestos!$B$20*Supuestos!$C$54*12*(1-Supuestos!$D$20*Supuestos!$D$54)</f>
        <v>50951.880000000005</v>
      </c>
      <c r="E10" s="70">
        <f>E6*Supuestos!$B$18*Supuestos!$C$54*12*(1-Supuestos!$D$18*Supuestos!$D$54)+E7*Supuestos!$B$19*Supuestos!$C$54*12*(1-Supuestos!$D$19*Supuestos!$D$54)+E8*Supuestos!$B$20*Supuestos!$C$54*12*(1-Supuestos!$D$20*Supuestos!$D$54)</f>
        <v>50951.880000000005</v>
      </c>
      <c r="F10" s="70">
        <f>F6*Supuestos!$B$18*Supuestos!$C$54*12*(1-Supuestos!$D$18*Supuestos!$D$54)+F7*Supuestos!$B$19*Supuestos!$C$54*12*(1-Supuestos!$D$19*Supuestos!$D$54)+F8*Supuestos!$B$20*Supuestos!$C$54*12*(1-Supuestos!$D$20*Supuestos!$D$54)</f>
        <v>52028.200000000012</v>
      </c>
      <c r="G10" s="70">
        <f>G6*Supuestos!$B$18*Supuestos!$C$54*12*(1-Supuestos!$D$18*Supuestos!$D$54)+G7*Supuestos!$B$19*Supuestos!$C$54*12*(1-Supuestos!$D$19*Supuestos!$D$54)+G8*Supuestos!$B$20*Supuestos!$C$54*12*(1-Supuestos!$D$20*Supuestos!$D$54)</f>
        <v>51802.380000000005</v>
      </c>
    </row>
    <row r="11" spans="1:8" x14ac:dyDescent="0.3">
      <c r="A11" s="8" t="s">
        <v>241</v>
      </c>
      <c r="B11" s="62" t="s">
        <v>234</v>
      </c>
      <c r="C11" s="66">
        <f>Modelo!C36</f>
        <v>44000</v>
      </c>
      <c r="D11" s="66">
        <f>Modelo!D36</f>
        <v>44000</v>
      </c>
      <c r="E11" s="66">
        <f>Modelo!E36</f>
        <v>44000</v>
      </c>
      <c r="F11" s="66">
        <f>Modelo!F36</f>
        <v>44000</v>
      </c>
      <c r="G11" s="66">
        <f>Modelo!G36</f>
        <v>44000</v>
      </c>
    </row>
    <row r="12" spans="1:8" x14ac:dyDescent="0.3">
      <c r="A12" s="8" t="s">
        <v>242</v>
      </c>
      <c r="B12" s="62" t="s">
        <v>243</v>
      </c>
      <c r="C12" s="71">
        <f>IFERROR(C5/C10,0)</f>
        <v>3.6350418029807341</v>
      </c>
      <c r="D12" s="71">
        <f>IFERROR(D5/D10,0)</f>
        <v>4.121535849118815</v>
      </c>
      <c r="E12" s="71">
        <f>IFERROR(E5/E10,0)</f>
        <v>5.8879083558840222</v>
      </c>
      <c r="F12" s="71">
        <f>IFERROR(F5/F10,0)</f>
        <v>7.6881383557378484</v>
      </c>
      <c r="G12" s="71">
        <f>IFERROR(G5/G10,0)</f>
        <v>10.617272797118588</v>
      </c>
    </row>
    <row r="13" spans="1:8" x14ac:dyDescent="0.3">
      <c r="A13" s="8" t="s">
        <v>244</v>
      </c>
      <c r="B13" s="62" t="s">
        <v>243</v>
      </c>
      <c r="C13" s="71">
        <f>IFERROR((C5+C11)/(C10-Supuestos!$B$8*C9),0)</f>
        <v>4.7557761843476127</v>
      </c>
      <c r="D13" s="71">
        <f>IFERROR((D5+D11)/(D10-Supuestos!$B$8*D9),0)</f>
        <v>5.0449797684394007</v>
      </c>
      <c r="E13" s="71">
        <f>IFERROR((E5+E11)/(E10-Supuestos!$B$8*E9),0)</f>
        <v>6.8325710249730465</v>
      </c>
      <c r="F13" s="71">
        <f>IFERROR((F5+F11)/(F10-Supuestos!$B$8*F9),0)</f>
        <v>8.6366704468309816</v>
      </c>
      <c r="G13" s="71">
        <f>IFERROR((G5+G11)/(G10-Supuestos!$B$8*G9),0)</f>
        <v>11.604490820730543</v>
      </c>
    </row>
    <row r="14" spans="1:8" x14ac:dyDescent="0.3">
      <c r="A14" s="8" t="s">
        <v>245</v>
      </c>
      <c r="B14" s="62" t="s">
        <v>243</v>
      </c>
      <c r="C14" s="71">
        <f>IFERROR(C13/(1-Supuestos!$B$10),0)</f>
        <v>5.9447202304345153</v>
      </c>
      <c r="D14" s="71">
        <f>IFERROR(D13/(1-Supuestos!$B$10),0)</f>
        <v>6.3062247105492508</v>
      </c>
      <c r="E14" s="71">
        <f>IFERROR(E13/(1-Supuestos!$B$10),0)</f>
        <v>8.5407137812163079</v>
      </c>
      <c r="F14" s="71">
        <f>IFERROR(F13/(1-Supuestos!$B$10),0)</f>
        <v>10.795838058538726</v>
      </c>
      <c r="G14" s="71">
        <f>IFERROR(G13/(1-Supuestos!$B$10),0)</f>
        <v>14.505613525913178</v>
      </c>
    </row>
    <row r="15" spans="1:8" x14ac:dyDescent="0.3">
      <c r="A15" s="8" t="s">
        <v>246</v>
      </c>
      <c r="B15" s="62" t="s">
        <v>243</v>
      </c>
      <c r="C15" s="72">
        <f t="shared" ref="C15:G17" si="0">ROUNDUP(C12,0)</f>
        <v>4</v>
      </c>
      <c r="D15" s="72">
        <f t="shared" si="0"/>
        <v>5</v>
      </c>
      <c r="E15" s="72">
        <f t="shared" si="0"/>
        <v>6</v>
      </c>
      <c r="F15" s="72">
        <f t="shared" si="0"/>
        <v>8</v>
      </c>
      <c r="G15" s="72">
        <f t="shared" si="0"/>
        <v>11</v>
      </c>
    </row>
    <row r="16" spans="1:8" x14ac:dyDescent="0.3">
      <c r="A16" s="8" t="s">
        <v>247</v>
      </c>
      <c r="B16" s="62" t="s">
        <v>243</v>
      </c>
      <c r="C16" s="72">
        <f t="shared" si="0"/>
        <v>5</v>
      </c>
      <c r="D16" s="72">
        <f t="shared" si="0"/>
        <v>6</v>
      </c>
      <c r="E16" s="72">
        <f t="shared" si="0"/>
        <v>7</v>
      </c>
      <c r="F16" s="72">
        <f t="shared" si="0"/>
        <v>9</v>
      </c>
      <c r="G16" s="72">
        <f t="shared" si="0"/>
        <v>12</v>
      </c>
    </row>
    <row r="17" spans="1:8" x14ac:dyDescent="0.3">
      <c r="A17" s="73" t="s">
        <v>248</v>
      </c>
      <c r="B17" s="62" t="s">
        <v>243</v>
      </c>
      <c r="C17" s="74">
        <f t="shared" si="0"/>
        <v>6</v>
      </c>
      <c r="D17" s="74">
        <f t="shared" si="0"/>
        <v>7</v>
      </c>
      <c r="E17" s="74">
        <f t="shared" si="0"/>
        <v>9</v>
      </c>
      <c r="F17" s="74">
        <f t="shared" si="0"/>
        <v>11</v>
      </c>
      <c r="G17" s="74">
        <f t="shared" si="0"/>
        <v>15</v>
      </c>
    </row>
    <row r="18" spans="1:8" x14ac:dyDescent="0.3">
      <c r="A18" s="8" t="s">
        <v>249</v>
      </c>
      <c r="B18" s="62" t="s">
        <v>243</v>
      </c>
      <c r="C18" s="75">
        <f>Modelo!C8</f>
        <v>2.6</v>
      </c>
      <c r="D18" s="75">
        <f>Modelo!D8</f>
        <v>6.5</v>
      </c>
      <c r="E18" s="75">
        <f>Modelo!E8</f>
        <v>13</v>
      </c>
      <c r="F18" s="75">
        <f>Modelo!F8</f>
        <v>23.4</v>
      </c>
      <c r="G18" s="75">
        <f>Modelo!G8</f>
        <v>39</v>
      </c>
    </row>
    <row r="19" spans="1:8" x14ac:dyDescent="0.3">
      <c r="A19" s="8" t="s">
        <v>250</v>
      </c>
      <c r="B19" s="62" t="s">
        <v>236</v>
      </c>
      <c r="C19" s="69">
        <f>IFERROR(C18/C17-1,0)</f>
        <v>-0.56666666666666665</v>
      </c>
      <c r="D19" s="69">
        <f>IFERROR(D18/D17-1,0)</f>
        <v>-7.1428571428571397E-2</v>
      </c>
      <c r="E19" s="69">
        <f>IFERROR(E18/E17-1,0)</f>
        <v>0.44444444444444442</v>
      </c>
      <c r="F19" s="69">
        <f>IFERROR(F18/F17-1,0)</f>
        <v>1.127272727272727</v>
      </c>
      <c r="G19" s="69">
        <f>IFERROR(G18/G17-1,0)</f>
        <v>1.6</v>
      </c>
    </row>
    <row r="20" spans="1:8" ht="25.95" customHeight="1" x14ac:dyDescent="0.3">
      <c r="A20" s="15" t="s">
        <v>251</v>
      </c>
      <c r="B20" s="62"/>
      <c r="C20" s="76" t="str">
        <f>IF(C18&gt;=C17,"Estable",IF(C18&gt;=C16,"Sin colchón",IF(C18&gt;=C15,"Equilibrio operativo","Bajo equilibrio")))</f>
        <v>Bajo equilibrio</v>
      </c>
      <c r="D20" s="76" t="str">
        <f>IF(D18&gt;=D17,"Estable",IF(D18&gt;=D16,"Sin colchón",IF(D18&gt;=D15,"Equilibrio operativo","Bajo equilibrio")))</f>
        <v>Sin colchón</v>
      </c>
      <c r="E20" s="76" t="str">
        <f>IF(E18&gt;=E17,"Estable",IF(E18&gt;=E16,"Sin colchón",IF(E18&gt;=E15,"Equilibrio operativo","Bajo equilibrio")))</f>
        <v>Estable</v>
      </c>
      <c r="F20" s="76" t="str">
        <f>IF(F18&gt;=F17,"Estable",IF(F18&gt;=F16,"Sin colchón",IF(F18&gt;=F15,"Equilibrio operativo","Bajo equilibrio")))</f>
        <v>Estable</v>
      </c>
      <c r="G20" s="76" t="str">
        <f>IF(G18&gt;=G17,"Estable",IF(G18&gt;=G16,"Sin colchón",IF(G18&gt;=G15,"Equilibrio operativo","Bajo equilibrio")))</f>
        <v>Estable</v>
      </c>
    </row>
    <row r="21" spans="1:8" x14ac:dyDescent="0.3">
      <c r="A21" s="8" t="s">
        <v>252</v>
      </c>
      <c r="B21" s="62" t="s">
        <v>234</v>
      </c>
      <c r="C21" s="70">
        <f>C17*C9/12</f>
        <v>23625</v>
      </c>
      <c r="D21" s="70">
        <f>D17*D9/12</f>
        <v>35280</v>
      </c>
      <c r="E21" s="70">
        <f>E17*E9/12</f>
        <v>45360</v>
      </c>
      <c r="F21" s="70">
        <f>F17*F9/12</f>
        <v>56787.500000000007</v>
      </c>
      <c r="G21" s="70">
        <f>G17*G9/12</f>
        <v>76912.500000000015</v>
      </c>
    </row>
    <row r="24" spans="1:8" x14ac:dyDescent="0.3">
      <c r="A24" s="7" t="s">
        <v>253</v>
      </c>
      <c r="B24" s="7"/>
      <c r="C24" s="7"/>
      <c r="D24" s="7"/>
      <c r="E24" s="7"/>
      <c r="F24" s="7"/>
      <c r="G24" s="7"/>
      <c r="H24" s="7"/>
    </row>
    <row r="25" spans="1:8" x14ac:dyDescent="0.3">
      <c r="A25" s="8" t="s">
        <v>254</v>
      </c>
      <c r="B25" s="77">
        <v>3</v>
      </c>
    </row>
    <row r="26" spans="1:8" x14ac:dyDescent="0.3">
      <c r="A26" s="8" t="s">
        <v>255</v>
      </c>
      <c r="B26" s="25">
        <f>INDEX(C5:G5,B25)</f>
        <v>300000</v>
      </c>
    </row>
    <row r="27" spans="1:8" x14ac:dyDescent="0.3">
      <c r="A27" s="8" t="s">
        <v>256</v>
      </c>
      <c r="B27" s="25">
        <f>INDEX(C11:G11,B25)</f>
        <v>44000</v>
      </c>
    </row>
    <row r="28" spans="1:8" ht="42" customHeight="1" x14ac:dyDescent="0.3">
      <c r="A28" s="13" t="s">
        <v>257</v>
      </c>
      <c r="B28" s="14" t="s">
        <v>258</v>
      </c>
      <c r="C28" s="14" t="s">
        <v>259</v>
      </c>
      <c r="D28" s="14" t="s">
        <v>260</v>
      </c>
      <c r="E28" s="14" t="s">
        <v>261</v>
      </c>
    </row>
    <row r="29" spans="1:8" x14ac:dyDescent="0.3">
      <c r="A29" s="8" t="s">
        <v>48</v>
      </c>
      <c r="B29" s="25">
        <f>Supuestos!$B$18*Supuestos!$C$54*12*(1-Supuestos!$D$18*Supuestos!$D$54)</f>
        <v>28507.5</v>
      </c>
      <c r="C29" s="78">
        <f>ROUNDUP($B$26/B29,0)</f>
        <v>11</v>
      </c>
      <c r="D29" s="78">
        <f>ROUNDUP(($B$26+$B$27)/(B29-Supuestos!$B$8*Supuestos!$B$18*Supuestos!$C$54*12),0)</f>
        <v>13</v>
      </c>
      <c r="E29" s="79">
        <f>ROUNDUP(($B$26+$B$27)/(B29-Supuestos!$B$8*Supuestos!$B$18*Supuestos!$C$54*12)/(1-Supuestos!$B$10),0)</f>
        <v>16</v>
      </c>
    </row>
    <row r="30" spans="1:8" x14ac:dyDescent="0.3">
      <c r="A30" s="8" t="s">
        <v>49</v>
      </c>
      <c r="B30" s="25">
        <f>Supuestos!$B$19*Supuestos!$C$54*12*(1-Supuestos!$D$19*Supuestos!$D$54)</f>
        <v>54022.5</v>
      </c>
      <c r="C30" s="78">
        <f>ROUNDUP($B$26/B30,0)</f>
        <v>6</v>
      </c>
      <c r="D30" s="78">
        <f>ROUNDUP(($B$26+$B$27)/(B30-Supuestos!$B$8*Supuestos!$B$19*Supuestos!$C$54*12),0)</f>
        <v>7</v>
      </c>
      <c r="E30" s="79">
        <f>ROUNDUP(($B$26+$B$27)/(B30-Supuestos!$B$8*Supuestos!$B$19*Supuestos!$C$54*12)/(1-Supuestos!$B$10),0)</f>
        <v>9</v>
      </c>
    </row>
    <row r="31" spans="1:8" x14ac:dyDescent="0.3">
      <c r="A31" s="8" t="s">
        <v>50</v>
      </c>
      <c r="B31" s="25">
        <f>Supuestos!$B$20*Supuestos!$C$54*12*(1-Supuestos!$D$20*Supuestos!$D$54)</f>
        <v>89699.400000000009</v>
      </c>
      <c r="C31" s="78">
        <f>ROUNDUP($B$26/B31,0)</f>
        <v>4</v>
      </c>
      <c r="D31" s="78">
        <f>ROUNDUP(($B$26+$B$27)/(B31-Supuestos!$B$8*Supuestos!$B$20*Supuestos!$C$54*12),0)</f>
        <v>4</v>
      </c>
      <c r="E31" s="79">
        <f>ROUNDUP(($B$26+$B$27)/(B31-Supuestos!$B$8*Supuestos!$B$20*Supuestos!$C$54*12)/(1-Supuestos!$B$10),0)</f>
        <v>5</v>
      </c>
    </row>
    <row r="32" spans="1:8" x14ac:dyDescent="0.3">
      <c r="A32" s="15" t="s">
        <v>262</v>
      </c>
      <c r="B32" s="80">
        <f>INDEX(C10:G10,B25)</f>
        <v>50951.880000000005</v>
      </c>
      <c r="C32" s="81">
        <f>ROUNDUP($B$26/B32,0)</f>
        <v>6</v>
      </c>
      <c r="D32" s="81">
        <f>ROUNDUP(($B$26+$B$27)/(B32-Supuestos!$B$8*INDEX(C9:G9,B25)),0)</f>
        <v>7</v>
      </c>
      <c r="E32" s="79">
        <f>ROUNDUP(($B$26+$B$27)/(B32-Supuestos!$B$8*INDEX(C9:G9,B25))/(1-Supuestos!$B$10),0)</f>
        <v>9</v>
      </c>
    </row>
    <row r="33" spans="1:8" x14ac:dyDescent="0.3">
      <c r="A33" s="6" t="str">
        <f>" Un Premium aporta lo mismo que "&amp;TEXT(B31/B29,"0.0")&amp;" Esenciales o "&amp;TEXT(B31/B30,"0.0")&amp;" Profesionales."</f>
        <v xml:space="preserve"> Un Premium aporta lo mismo que 3.1 Esenciales o 1.7 Profesionales.</v>
      </c>
    </row>
    <row r="36" spans="1:8" x14ac:dyDescent="0.3">
      <c r="A36" s="7" t="s">
        <v>263</v>
      </c>
      <c r="B36" s="7"/>
      <c r="C36" s="7"/>
      <c r="D36" s="7"/>
      <c r="E36" s="7"/>
      <c r="F36" s="7"/>
      <c r="G36" s="7"/>
      <c r="H36" s="7"/>
    </row>
    <row r="37" spans="1:8" x14ac:dyDescent="0.3">
      <c r="A37" s="13" t="s">
        <v>62</v>
      </c>
      <c r="B37" s="14" t="s">
        <v>232</v>
      </c>
      <c r="C37" s="14" t="s">
        <v>53</v>
      </c>
      <c r="D37" s="14" t="s">
        <v>54</v>
      </c>
      <c r="E37" s="14" t="s">
        <v>55</v>
      </c>
      <c r="F37" s="14" t="s">
        <v>56</v>
      </c>
      <c r="G37" s="14" t="s">
        <v>57</v>
      </c>
    </row>
    <row r="38" spans="1:8" x14ac:dyDescent="0.3">
      <c r="A38" s="8" t="s">
        <v>264</v>
      </c>
      <c r="B38" s="62" t="s">
        <v>234</v>
      </c>
      <c r="C38" s="70">
        <f>Supuestos!$B$13*C5</f>
        <v>37500</v>
      </c>
      <c r="D38" s="70">
        <f>Supuestos!$B$13*D5</f>
        <v>52500</v>
      </c>
      <c r="E38" s="70">
        <f>Supuestos!$B$13*E5</f>
        <v>75000</v>
      </c>
      <c r="F38" s="70">
        <f>Supuestos!$B$13*F5</f>
        <v>100000</v>
      </c>
      <c r="G38" s="70">
        <f>Supuestos!$B$13*G5</f>
        <v>137500</v>
      </c>
    </row>
    <row r="39" spans="1:8" x14ac:dyDescent="0.3">
      <c r="A39" s="8" t="s">
        <v>265</v>
      </c>
      <c r="B39" s="62" t="s">
        <v>234</v>
      </c>
      <c r="C39" s="70">
        <f>Supuestos!$B$46</f>
        <v>60000</v>
      </c>
      <c r="D39" s="70">
        <f>0</f>
        <v>0</v>
      </c>
      <c r="E39" s="70">
        <f>0</f>
        <v>0</v>
      </c>
      <c r="F39" s="70">
        <f>0</f>
        <v>0</v>
      </c>
      <c r="G39" s="70">
        <f>0</f>
        <v>0</v>
      </c>
    </row>
    <row r="40" spans="1:8" x14ac:dyDescent="0.3">
      <c r="A40" s="8" t="s">
        <v>266</v>
      </c>
      <c r="B40" s="62" t="s">
        <v>243</v>
      </c>
      <c r="C40" s="82">
        <f>Modelo!C19</f>
        <v>2.6</v>
      </c>
      <c r="D40" s="82">
        <f>Modelo!D19</f>
        <v>4.16</v>
      </c>
      <c r="E40" s="82">
        <f>Modelo!E19</f>
        <v>7.0850000000000009</v>
      </c>
      <c r="F40" s="82">
        <f>Modelo!F19</f>
        <v>11.57</v>
      </c>
      <c r="G40" s="82">
        <f>Modelo!G19</f>
        <v>17.680000000000007</v>
      </c>
    </row>
    <row r="41" spans="1:8" x14ac:dyDescent="0.3">
      <c r="A41" s="15" t="s">
        <v>267</v>
      </c>
      <c r="B41" s="62" t="s">
        <v>234</v>
      </c>
      <c r="C41" s="83">
        <f>IFERROR((C38+C39)/C40,0)</f>
        <v>37500</v>
      </c>
      <c r="D41" s="83">
        <f>IFERROR((D38+D39)/D40,0)</f>
        <v>12620.192307692307</v>
      </c>
      <c r="E41" s="83">
        <f>IFERROR((E38+E39)/E40,0)</f>
        <v>10585.744530698657</v>
      </c>
      <c r="F41" s="83">
        <f>IFERROR((F38+F39)/F40,0)</f>
        <v>8643.042350907519</v>
      </c>
      <c r="G41" s="83">
        <f>IFERROR((G38+G39)/G40,0)</f>
        <v>7777.1493212669657</v>
      </c>
    </row>
    <row r="42" spans="1:8" x14ac:dyDescent="0.3">
      <c r="A42" s="15" t="s">
        <v>268</v>
      </c>
      <c r="B42" s="80">
        <f>IFERROR(SUM(E38:G38)/SUM(E40:G40),0)</f>
        <v>8600.5229117930357</v>
      </c>
    </row>
    <row r="44" spans="1:8" ht="42" customHeight="1" x14ac:dyDescent="0.3">
      <c r="A44" s="13" t="s">
        <v>40</v>
      </c>
      <c r="B44" s="14" t="s">
        <v>258</v>
      </c>
      <c r="C44" s="14" t="s">
        <v>269</v>
      </c>
      <c r="D44" s="14" t="s">
        <v>270</v>
      </c>
      <c r="E44" s="14" t="s">
        <v>271</v>
      </c>
      <c r="F44" s="14" t="s">
        <v>272</v>
      </c>
      <c r="G44" s="14" t="s">
        <v>273</v>
      </c>
    </row>
    <row r="45" spans="1:8" x14ac:dyDescent="0.3">
      <c r="A45" s="8" t="s">
        <v>48</v>
      </c>
      <c r="B45" s="25">
        <f>B29</f>
        <v>28507.5</v>
      </c>
      <c r="C45" s="84">
        <f>IFERROR((1-(1-Supuestos!$E$18)^5)/Supuestos!$E$18,5)</f>
        <v>3.9355673600000003</v>
      </c>
      <c r="D45" s="25">
        <f>B45*C45+Supuestos!$C$18*Supuestos!$C$54*(1-Supuestos!$B$9)</f>
        <v>115868.18651520001</v>
      </c>
      <c r="E45" s="25">
        <f>$B$42</f>
        <v>8600.5229117930357</v>
      </c>
      <c r="F45" s="85">
        <f>IFERROR(D45/E45,0)</f>
        <v>13.472225782495338</v>
      </c>
      <c r="G45" s="86">
        <f>IFERROR(E45/(B45/12),0)</f>
        <v>3.6203200891525538</v>
      </c>
    </row>
    <row r="46" spans="1:8" x14ac:dyDescent="0.3">
      <c r="A46" s="8" t="s">
        <v>49</v>
      </c>
      <c r="B46" s="25">
        <f>B30</f>
        <v>54022.5</v>
      </c>
      <c r="C46" s="84">
        <f>IFERROR((1-(1-Supuestos!$E$19)^5)/Supuestos!$E$19,5)</f>
        <v>4.2614809599999983</v>
      </c>
      <c r="D46" s="25">
        <f>B46*C46+Supuestos!$C$19*Supuestos!$C$54*(1-Supuestos!$B$9)</f>
        <v>237565.8551615999</v>
      </c>
      <c r="E46" s="25">
        <f>$B$42</f>
        <v>8600.5229117930357</v>
      </c>
      <c r="F46" s="85">
        <f>IFERROR(D46/E46,0)</f>
        <v>27.622257111349548</v>
      </c>
      <c r="G46" s="86">
        <f>IFERROR(E46/(B46/12),0)</f>
        <v>1.9104313006898317</v>
      </c>
    </row>
    <row r="47" spans="1:8" x14ac:dyDescent="0.3">
      <c r="A47" s="8" t="s">
        <v>50</v>
      </c>
      <c r="B47" s="25">
        <f>B31</f>
        <v>89699.400000000009</v>
      </c>
      <c r="C47" s="84">
        <f>IFERROR((1-(1-Supuestos!$E$20)^5)/Supuestos!$E$20,5)</f>
        <v>4.5243812500000002</v>
      </c>
      <c r="D47" s="25">
        <f>B47*C47+Supuestos!$C$20*Supuestos!$C$54*(1-Supuestos!$B$9)</f>
        <v>420534.28349625005</v>
      </c>
      <c r="E47" s="25">
        <f>$B$42</f>
        <v>8600.5229117930357</v>
      </c>
      <c r="F47" s="85">
        <f>IFERROR(D47/E47,0)</f>
        <v>48.896362210675996</v>
      </c>
      <c r="G47" s="86">
        <f>IFERROR(E47/(B47/12),0)</f>
        <v>1.1505793231784875</v>
      </c>
    </row>
    <row r="48" spans="1:8" x14ac:dyDescent="0.3">
      <c r="A48" s="6" t="s">
        <v>274</v>
      </c>
    </row>
  </sheetData>
  <conditionalFormatting sqref="C20:G20">
    <cfRule type="cellIs" dxfId="3" priority="1" operator="equal">
      <formula>"Estable"</formula>
    </cfRule>
    <cfRule type="cellIs" dxfId="2" priority="2" operator="equal">
      <formula>"Bajo equilibrio"</formula>
    </cfRule>
    <cfRule type="cellIs" dxfId="1" priority="3" operator="equal">
      <formula>"Sin colchón"</formula>
    </cfRule>
    <cfRule type="cellIs" dxfId="0" priority="4" operator="equal">
      <formula>"Equilibrio operativo"</formula>
    </cfRule>
  </conditionalFormatting>
  <dataValidations count="1">
    <dataValidation type="list" sqref="B25" xr:uid="{00000000-0002-0000-0500-000000000000}">
      <formula1>"1,2,3,4,5"</formula1>
    </dataValidation>
  </dataValidations>
  <pageMargins left="0.75" right="0.75" top="1" bottom="1" header="0.5" footer="0.5"/>
  <pageSetup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Dashboard</vt:lpstr>
      <vt:lpstr>Supuestos</vt:lpstr>
      <vt:lpstr>Planes</vt:lpstr>
      <vt:lpstr>Modelo</vt:lpstr>
      <vt:lpstr>Indicadores</vt:lpstr>
      <vt:lpstr>Equilibrio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Jarey 17</cp:lastModifiedBy>
  <dcterms:created xsi:type="dcterms:W3CDTF">2026-10-08T15:35:24Z</dcterms:created>
  <dcterms:modified xsi:type="dcterms:W3CDTF">2026-10-08T15:45:37Z</dcterms:modified>
</cp:coreProperties>
</file>